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Z:\Lish Follow Customer year2025\"/>
    </mc:Choice>
  </mc:AlternateContent>
  <xr:revisionPtr revIDLastSave="0" documentId="13_ncr:1_{93801DE0-174F-402A-ABBB-0DEF01A446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heary" sheetId="1" r:id="rId1"/>
    <sheet name="OF" sheetId="3" r:id="rId2"/>
    <sheet name="Sros" sheetId="2" r:id="rId3"/>
    <sheet name="Sros (2)" sheetId="8" r:id="rId4"/>
    <sheet name="Sros (3)" sheetId="14" r:id="rId5"/>
    <sheet name="Sros (4)" sheetId="17" r:id="rId6"/>
    <sheet name="Bery" sheetId="5" r:id="rId7"/>
    <sheet name="Bery (2)" sheetId="9" r:id="rId8"/>
    <sheet name="Bery (3)" sheetId="15" r:id="rId9"/>
    <sheet name="Bery (4)" sheetId="19" r:id="rId10"/>
    <sheet name="Seyi" sheetId="12" r:id="rId11"/>
    <sheet name="Seyi (2)" sheetId="21" r:id="rId12"/>
    <sheet name="JR" sheetId="7" r:id="rId13"/>
    <sheet name="San+YaYa" sheetId="10" r:id="rId14"/>
    <sheet name="Pheaktra" sheetId="16" r:id="rId15"/>
    <sheet name="Pheaktra (2)" sheetId="20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7" l="1"/>
  <c r="F23" i="3"/>
  <c r="F23" i="16" l="1"/>
  <c r="F17" i="10"/>
  <c r="F23" i="12"/>
  <c r="F23" i="20" l="1"/>
  <c r="F22" i="19" l="1"/>
  <c r="F23" i="1" l="1"/>
  <c r="F22" i="15" l="1"/>
  <c r="F25" i="14"/>
  <c r="F22" i="9" l="1"/>
  <c r="F9" i="10" l="1"/>
  <c r="F25" i="8" l="1"/>
  <c r="F23" i="2" l="1"/>
  <c r="F23" i="5"/>
  <c r="F2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 PC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 PC:</t>
        </r>
        <r>
          <rPr>
            <sz val="9"/>
            <color indexed="81"/>
            <rFont val="Tahoma"/>
            <family val="2"/>
          </rPr>
          <t xml:space="preserve">
097 5917581 wife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 PC</author>
  </authors>
  <commentList>
    <comment ref="F12" authorId="0" shapeId="0" xr:uid="{00000000-0006-0000-0600-000001000000}">
      <text>
        <r>
          <rPr>
            <b/>
            <sz val="9"/>
            <color indexed="81"/>
            <rFont val="Tahoma"/>
          </rPr>
          <t>Dell PC:</t>
        </r>
        <r>
          <rPr>
            <sz val="9"/>
            <color indexed="81"/>
            <rFont val="Tahoma"/>
          </rPr>
          <t xml:space="preserve">
រំលស់30%មានការប្រាក់លើកទី1ទឹកប្រាប់រំលស់4329$រយះពេល18ខែ</t>
        </r>
      </text>
    </comment>
  </commentList>
</comments>
</file>

<file path=xl/sharedStrings.xml><?xml version="1.0" encoding="utf-8"?>
<sst xmlns="http://schemas.openxmlformats.org/spreadsheetml/2006/main" count="932" uniqueCount="767">
  <si>
    <t>ល-រ</t>
  </si>
  <si>
    <t>បរិយាយ</t>
  </si>
  <si>
    <t>ពិនិត្យដោយ</t>
  </si>
  <si>
    <t>ឈ្មោះអតិថិជន</t>
  </si>
  <si>
    <t>ថ្ងៃបង់ប្រាក់</t>
  </si>
  <si>
    <t>លេខទូរសព្ទអតិថិជន</t>
  </si>
  <si>
    <t>H119</t>
  </si>
  <si>
    <t>B101</t>
  </si>
  <si>
    <t>I307</t>
  </si>
  <si>
    <t>G223</t>
  </si>
  <si>
    <t>I638</t>
  </si>
  <si>
    <t>I615</t>
  </si>
  <si>
    <t>G98</t>
  </si>
  <si>
    <t>I516</t>
  </si>
  <si>
    <t>B91</t>
  </si>
  <si>
    <t>G217</t>
  </si>
  <si>
    <t>I518</t>
  </si>
  <si>
    <t>I521</t>
  </si>
  <si>
    <t>I547</t>
  </si>
  <si>
    <t>សុត កំសាន្ត</t>
  </si>
  <si>
    <t>ស៊ិន ស៊ីណាត</t>
  </si>
  <si>
    <t>ឡាច ប៉ុក</t>
  </si>
  <si>
    <t>ម៉ៃ រិត</t>
  </si>
  <si>
    <t>ខេន គន្ធា</t>
  </si>
  <si>
    <t>នៅ ចំរើន</t>
  </si>
  <si>
    <t>ជួន​ កុសល</t>
  </si>
  <si>
    <t>ឡេវ ដួងកែវ</t>
  </si>
  <si>
    <t>សុខ ហុង</t>
  </si>
  <si>
    <t>ប៉ែន ស្រីធន</t>
  </si>
  <si>
    <t>សួន សោភា</t>
  </si>
  <si>
    <t>ថ្នឹង រីណា</t>
  </si>
  <si>
    <t>ពេជ្រ ម៉ាលីស</t>
  </si>
  <si>
    <t>ទុយ​ ស៊្រី</t>
  </si>
  <si>
    <t>097 3221218/ 086 626414</t>
  </si>
  <si>
    <t>010​ 683020/ 069 705019</t>
  </si>
  <si>
    <t>097 5571908</t>
  </si>
  <si>
    <t>089 553495 / 098 589546</t>
  </si>
  <si>
    <t>096 8297629</t>
  </si>
  <si>
    <t>086 507857 / 097 8563976</t>
  </si>
  <si>
    <t>093 874368 / 081 282051</t>
  </si>
  <si>
    <t>093 390286 / 096 3762509</t>
  </si>
  <si>
    <t>097 8885967 / 010 701937</t>
  </si>
  <si>
    <t>096 4083942 / 096 7408238</t>
  </si>
  <si>
    <t>069 773533 / 097 2852558</t>
  </si>
  <si>
    <t>012 401413 / 078 968896</t>
  </si>
  <si>
    <t xml:space="preserve">012 375372 </t>
  </si>
  <si>
    <t>015 219181 / 087 762840</t>
  </si>
  <si>
    <t>លេខ ផ្ទះ</t>
  </si>
  <si>
    <t>លេខ​ ផ្ទះ</t>
  </si>
  <si>
    <t>I544</t>
  </si>
  <si>
    <t>I644</t>
  </si>
  <si>
    <t>I645</t>
  </si>
  <si>
    <t>081​ 879697 /​ 096 5741587</t>
  </si>
  <si>
    <t>ឡុង ក្រូច</t>
  </si>
  <si>
    <t>ឡុង​​ សារ៉ូម</t>
  </si>
  <si>
    <t>089​ 338711 /​ 076 3414829</t>
  </si>
  <si>
    <t>សូត រ៉ី</t>
  </si>
  <si>
    <t>096​ 6628377</t>
  </si>
  <si>
    <t xml:space="preserve">Office </t>
  </si>
  <si>
    <t>H117</t>
  </si>
  <si>
    <t>វ៉ន សុមិនា</t>
  </si>
  <si>
    <t>096 9680126 /​ 012 912945</t>
  </si>
  <si>
    <t>B63</t>
  </si>
  <si>
    <t>ភី សំអាង</t>
  </si>
  <si>
    <t>096 2453244</t>
  </si>
  <si>
    <t>B48</t>
  </si>
  <si>
    <t>I309</t>
  </si>
  <si>
    <t>G200</t>
  </si>
  <si>
    <t>016 335896</t>
  </si>
  <si>
    <t>ចិន សុខា</t>
  </si>
  <si>
    <t>I646</t>
  </si>
  <si>
    <t>I540</t>
  </si>
  <si>
    <t>010 / 070 414432</t>
  </si>
  <si>
    <t>ញ៉ែម សុវណ្ណា</t>
  </si>
  <si>
    <t>I310</t>
  </si>
  <si>
    <t>រស់ សុខុន</t>
  </si>
  <si>
    <t>096 5571179/ 096 435377</t>
  </si>
  <si>
    <t>086 655798​ ​/ 096 4073977</t>
  </si>
  <si>
    <t>ជា សុចាន់</t>
  </si>
  <si>
    <t>គង់ កនិការ</t>
  </si>
  <si>
    <t>069 525819/ 070 697825</t>
  </si>
  <si>
    <t>ថ្មម ណាក់</t>
  </si>
  <si>
    <t>096 3810797/098 735656</t>
  </si>
  <si>
    <t>ទ្រាវ សំអាត</t>
  </si>
  <si>
    <t>071 6790481</t>
  </si>
  <si>
    <t>I522</t>
  </si>
  <si>
    <t>I548</t>
  </si>
  <si>
    <t>ផុន ផល្លា</t>
  </si>
  <si>
    <t>ពេជ ចាន់ថា</t>
  </si>
  <si>
    <t>086​ 8676151/ 081 716109</t>
  </si>
  <si>
    <t>086 566004 / 090 744828</t>
  </si>
  <si>
    <t>JL933</t>
  </si>
  <si>
    <t>I524</t>
  </si>
  <si>
    <t>I543</t>
  </si>
  <si>
    <t>I546</t>
  </si>
  <si>
    <t>ញន សារ៉ែម</t>
  </si>
  <si>
    <t>ពេជ្រ សុភេន</t>
  </si>
  <si>
    <t>ម៉ែន រ៉ាយ៉ា</t>
  </si>
  <si>
    <t>017 484840 / 087 740591</t>
  </si>
  <si>
    <t>097 4450175 / 088 4007200</t>
  </si>
  <si>
    <t>069 516468 / 071 2216633</t>
  </si>
  <si>
    <t>069 999197 / 099 599996</t>
  </si>
  <si>
    <t>JL027</t>
  </si>
  <si>
    <t>អ៊ុំ គឹម</t>
  </si>
  <si>
    <t>090 611118​ / 092 763667</t>
  </si>
  <si>
    <t>ណុប​ ប៊ុណ្ណាត</t>
  </si>
  <si>
    <t>012​ 826950 / 096 3110992</t>
  </si>
  <si>
    <t>E37</t>
  </si>
  <si>
    <t>សុង ហុង</t>
  </si>
  <si>
    <t>081 257897 /​ 093 565512</t>
  </si>
  <si>
    <t>អ្នកគ្រូ ធារី</t>
  </si>
  <si>
    <t>E38</t>
  </si>
  <si>
    <t>JL029</t>
  </si>
  <si>
    <t>JL064</t>
  </si>
  <si>
    <t>សេក ញាញ់</t>
  </si>
  <si>
    <t>សេក ង៉ា</t>
  </si>
  <si>
    <t>096 7776171/​ 092​ 650745</t>
  </si>
  <si>
    <t>I542</t>
  </si>
  <si>
    <t>សេង​ សៀវយី</t>
  </si>
  <si>
    <t>071 3075662 / 097 2625729</t>
  </si>
  <si>
    <t>JL130+JL131</t>
  </si>
  <si>
    <t>I539</t>
  </si>
  <si>
    <t>ឆន វណ្ណាន</t>
  </si>
  <si>
    <t>នៅ​ ចាន់ធា</t>
  </si>
  <si>
    <t>JL034</t>
  </si>
  <si>
    <t>គឹម ប៊ុនថន</t>
  </si>
  <si>
    <t>010 646709 / 015 325912</t>
  </si>
  <si>
    <t>ពេញ សំបូរ</t>
  </si>
  <si>
    <t>097 6749599</t>
  </si>
  <si>
    <t>JL425</t>
  </si>
  <si>
    <t>ចាន់​ សុធា</t>
  </si>
  <si>
    <t>097 8529584 / 070 605136</t>
  </si>
  <si>
    <t>087​ 204947 / 096 8397308</t>
  </si>
  <si>
    <t>JL135+JL136</t>
  </si>
  <si>
    <t>ញុង ធឿន</t>
  </si>
  <si>
    <t>ទិត្យ វិច្ឆិកា</t>
  </si>
  <si>
    <t>JL150+151+JL450+451</t>
  </si>
  <si>
    <t>089 952555 / 096 8262222</t>
  </si>
  <si>
    <t>JL028</t>
  </si>
  <si>
    <t>JL132</t>
  </si>
  <si>
    <t>សាន ឆេងឡាយ</t>
  </si>
  <si>
    <t>096​​ 6415483</t>
  </si>
  <si>
    <t>JL901+JL902</t>
  </si>
  <si>
    <t>ម៉ុម​ ភ័ន</t>
  </si>
  <si>
    <t>098 710049 /​ 090 912887</t>
  </si>
  <si>
    <t>JL129</t>
  </si>
  <si>
    <t>JL031</t>
  </si>
  <si>
    <t>ទូច សារ៉ាន់</t>
  </si>
  <si>
    <t>096 5950763​ / 093 678059</t>
  </si>
  <si>
    <t>JL127</t>
  </si>
  <si>
    <t>កុយ ធារិទ្ធ</t>
  </si>
  <si>
    <t>070/093 952007</t>
  </si>
  <si>
    <t>លើកទី</t>
  </si>
  <si>
    <t>នៅវត្តដំបូកខ្ពស់</t>
  </si>
  <si>
    <t>ពិជ្រ ចាន់ថន</t>
  </si>
  <si>
    <t>060 959556 / 069 433158</t>
  </si>
  <si>
    <t>JL033</t>
  </si>
  <si>
    <t>ងិន សំអឿន</t>
  </si>
  <si>
    <t>010 790023/ 097 4776525</t>
  </si>
  <si>
    <t>ម៉ម​ សំនៀង</t>
  </si>
  <si>
    <t>017 558874/ 017613642</t>
  </si>
  <si>
    <t>លោកគ្រូ បឺ រី</t>
  </si>
  <si>
    <t>​ អ្នក​គ្រូ ស្រី ស្រស់</t>
  </si>
  <si>
    <t>JL032</t>
  </si>
  <si>
    <t>ហ៊ឹម នី</t>
  </si>
  <si>
    <t>015 513883</t>
  </si>
  <si>
    <t>JL137</t>
  </si>
  <si>
    <t>ក្រូច សារ៉ាន</t>
  </si>
  <si>
    <t>088 564 8750</t>
  </si>
  <si>
    <t>ហេង ចន្ធី</t>
  </si>
  <si>
    <t>071 9008001/ 015 670008</t>
  </si>
  <si>
    <t>JL038+JL039</t>
  </si>
  <si>
    <t>ឡុក ស្រីកែវ</t>
  </si>
  <si>
    <t>Freelance C=JL038+JL039 Bring</t>
  </si>
  <si>
    <t>Freelance C=F150​ Own buy</t>
  </si>
  <si>
    <t>ង៉ែត វណ្ណី</t>
  </si>
  <si>
    <t>088 6001915</t>
  </si>
  <si>
    <t>ហុក ឡៃស៊ីម</t>
  </si>
  <si>
    <t>093 939754 /​​ 071 6772007</t>
  </si>
  <si>
    <t>JL141</t>
  </si>
  <si>
    <t>ឡេង​ ភារុណ</t>
  </si>
  <si>
    <t>088 6718098 / 098 385637</t>
  </si>
  <si>
    <t>ពៅ ឌឿន</t>
  </si>
  <si>
    <t>096 9301383 /​ 012 930383</t>
  </si>
  <si>
    <t>Walk In Follow Bery+Sros</t>
  </si>
  <si>
    <t>LA065+LA066</t>
  </si>
  <si>
    <t>JL429</t>
  </si>
  <si>
    <t>JL128</t>
  </si>
  <si>
    <t>តឹក ច័ន្ទមុនី</t>
  </si>
  <si>
    <t>086​759123​/​ 097​ 630088</t>
  </si>
  <si>
    <t>ទឹម ចាក់រ៉ែន</t>
  </si>
  <si>
    <t>015 858071 / 096 6225544</t>
  </si>
  <si>
    <t>B200</t>
  </si>
  <si>
    <t>ឈឺន ស្រីមុំ</t>
  </si>
  <si>
    <t>016 971054 / 088 2316546</t>
  </si>
  <si>
    <t>JL050</t>
  </si>
  <si>
    <t>វី វុធ</t>
  </si>
  <si>
    <t>077 / 010 554268</t>
  </si>
  <si>
    <t>H225</t>
  </si>
  <si>
    <t>រិន រដ្ឋា</t>
  </si>
  <si>
    <t>090 386351</t>
  </si>
  <si>
    <t>រំលស់30%រយះ24ខែអត់ការប្រាក់កក់31-07-26</t>
  </si>
  <si>
    <t>Freelance C Grandma korea Close Bery</t>
  </si>
  <si>
    <t>រំលស់120ខែជាមួយបុរី​ដល់26-04-34</t>
  </si>
  <si>
    <t>បង់70%រយះពេល1ឆ្នាំអត់ការប្រាក់ដល់18-04-25</t>
  </si>
  <si>
    <t>រំលស់22ខែ30%ជាមួយបុរី​ដល់05-06-26</t>
  </si>
  <si>
    <t>រំលស់150ខែជាមួយបុរី​ដល់16-12-36</t>
  </si>
  <si>
    <t>រំលស់15ឆ្នាំជាមួយបុរី70%ដល់15-09-39</t>
  </si>
  <si>
    <t>រំលស់42ខែជាមួយបុរី30%ដល់12-08-26</t>
  </si>
  <si>
    <t>រំលស់30ខែជាមួយបុរី30%ដល់05-01-27</t>
  </si>
  <si>
    <t>រំលស់30ខែជាមួយបុរី30%ដល់15-01-27</t>
  </si>
  <si>
    <t>រំលស់20ខែជាមួយបុរី30%ដល់10-03-26</t>
  </si>
  <si>
    <t>រំលស់24ខែជាមួយបុរី30%ដល់20-06-26</t>
  </si>
  <si>
    <t>រំលស់18ខែជាមួយបុរី30%ដល់05-02-26</t>
  </si>
  <si>
    <t>បង់1000$ចូលនៅរំលស់1ឆ្នាំអត់ការប្រាក់150$/ខែ</t>
  </si>
  <si>
    <t>ទៀក ច័ន្ទរិត</t>
  </si>
  <si>
    <t>JL147+JL148</t>
  </si>
  <si>
    <t>យ៉ែម ចិត្រ្តា</t>
  </si>
  <si>
    <t>069​ 676730 / 099 676763</t>
  </si>
  <si>
    <t>JL056+JL057</t>
  </si>
  <si>
    <t>016​​ 417766 / 066 930830</t>
  </si>
  <si>
    <t>ប៉ិច សាវ៉ាត</t>
  </si>
  <si>
    <t>096 2742533​/ 096 7040031</t>
  </si>
  <si>
    <t>AL050</t>
  </si>
  <si>
    <t>ស៊ូ ផានិត</t>
  </si>
  <si>
    <t>017 242560 / 086 775758</t>
  </si>
  <si>
    <t>អ្នកគ្រូយ៉ា</t>
  </si>
  <si>
    <t>JL926</t>
  </si>
  <si>
    <t>ផុន ផលឡៃ</t>
  </si>
  <si>
    <t>092 800360​/​ 085 485783</t>
  </si>
  <si>
    <t>JL903</t>
  </si>
  <si>
    <t>ជួន សំអាន</t>
  </si>
  <si>
    <t>070 860629 / 016 744585</t>
  </si>
  <si>
    <t>JL040+JL075</t>
  </si>
  <si>
    <t>088 2828229 / 095 291158</t>
  </si>
  <si>
    <t>JL025+JL026</t>
  </si>
  <si>
    <t>សុទ្ធ ប៊ុនប៉ា</t>
  </si>
  <si>
    <t>077 854575 / 078 598125</t>
  </si>
  <si>
    <t>JL904+JL905</t>
  </si>
  <si>
    <t>ទួន សុភារិន</t>
  </si>
  <si>
    <t>093 519997 / 090 519997</t>
  </si>
  <si>
    <t>ស៊ាង សំណាង</t>
  </si>
  <si>
    <t>095​ 598349 / 031 2977738</t>
  </si>
  <si>
    <t>ទិត្យ ទី</t>
  </si>
  <si>
    <t>010 /017 242444</t>
  </si>
  <si>
    <t>JL063</t>
  </si>
  <si>
    <t>នាង ពិសិត</t>
  </si>
  <si>
    <t>081​ 231199 / 012 451440</t>
  </si>
  <si>
    <t>រំលស់20000$ជាមួយបុរី315$/10ឆ្នាំនៅកន្ទុយ2904$កាត់ដើមបណ្តើរៗ</t>
  </si>
  <si>
    <t>H206</t>
  </si>
  <si>
    <t>088 749522 / 096 6379399</t>
  </si>
  <si>
    <t>JL067</t>
  </si>
  <si>
    <t>ទី វាសនា</t>
  </si>
  <si>
    <t>085 293777 / 088 3895666</t>
  </si>
  <si>
    <t>JL134</t>
  </si>
  <si>
    <t>ហូយ សារ៉ាត់</t>
  </si>
  <si>
    <t>088 3993400 / 096 6674212</t>
  </si>
  <si>
    <t>Freelance C JL933</t>
  </si>
  <si>
    <t>JL430</t>
  </si>
  <si>
    <t>ធី រដ្ឋា</t>
  </si>
  <si>
    <t>010 768509 / 097 6747018</t>
  </si>
  <si>
    <t>JL054</t>
  </si>
  <si>
    <t>JL139</t>
  </si>
  <si>
    <t>គឹន លុច</t>
  </si>
  <si>
    <t>010 491678 / 097 3332373</t>
  </si>
  <si>
    <t>JL143</t>
  </si>
  <si>
    <t>JL047</t>
  </si>
  <si>
    <t>JL443+JL444</t>
  </si>
  <si>
    <t>JL441</t>
  </si>
  <si>
    <t>ប៊ូ រ៉ាឌី</t>
  </si>
  <si>
    <t>097 9002640 / 067 631094</t>
  </si>
  <si>
    <t>JL044+JL079</t>
  </si>
  <si>
    <t>ជី សុជា</t>
  </si>
  <si>
    <t>012 805362 / 088 3107086</t>
  </si>
  <si>
    <t>JL043</t>
  </si>
  <si>
    <t>មាន ថារី</t>
  </si>
  <si>
    <t>JL140</t>
  </si>
  <si>
    <t>ម៉ុន ស៊ុនហេង</t>
  </si>
  <si>
    <t>010​ 623683 / 099 280789</t>
  </si>
  <si>
    <t>JL439</t>
  </si>
  <si>
    <t>ធឿន ស៊ីនួន</t>
  </si>
  <si>
    <t>096​ 6074832 / 071 6852768</t>
  </si>
  <si>
    <t>រិន រចនី</t>
  </si>
  <si>
    <t>088 5755723 / 069 540710</t>
  </si>
  <si>
    <t xml:space="preserve">ត្រូវបន្ថែម 10-04-25=150$ </t>
  </si>
  <si>
    <t>JL426</t>
  </si>
  <si>
    <t>សៀប តុលា</t>
  </si>
  <si>
    <t>015 989499 / 097 7166589</t>
  </si>
  <si>
    <t>សុត ម៉ាច</t>
  </si>
  <si>
    <t>015​ 770903 / 096 5121427</t>
  </si>
  <si>
    <t>JL437</t>
  </si>
  <si>
    <t>ស៊ីន ត្រា</t>
  </si>
  <si>
    <t>015 478916 / 015 730213</t>
  </si>
  <si>
    <t>JL442</t>
  </si>
  <si>
    <t>ស សុខឡែន</t>
  </si>
  <si>
    <t>015 997739 / 012 767780</t>
  </si>
  <si>
    <t>JL144</t>
  </si>
  <si>
    <t>ម៉ែន​ សុភត្រ្តា</t>
  </si>
  <si>
    <t>096 6399444 ​/ 096 5590526</t>
  </si>
  <si>
    <t>JL152+JL153</t>
  </si>
  <si>
    <t>JL030</t>
  </si>
  <si>
    <t>សោម សត្យា</t>
  </si>
  <si>
    <t>070 201182​ / 089 601698</t>
  </si>
  <si>
    <t>LoLc Reject 28-11-24 Write Off រំលស់19650$ជាមួយបុរីវិញ10ឆ្នាំ</t>
  </si>
  <si>
    <t>068 809545​​ / 088 9362252</t>
  </si>
  <si>
    <t>មិត្តភក្តិJL934</t>
  </si>
  <si>
    <t>JL434+JL435</t>
  </si>
  <si>
    <t>ប៊ុត សុខលីដា</t>
  </si>
  <si>
    <t>069​ 308668 / 088 7854618</t>
  </si>
  <si>
    <t xml:space="preserve">ប្តីប្រពន្ធម៉ៅអេតចាយ </t>
  </si>
  <si>
    <t>បានប្លង់បង់ផ្តាច់កំពុងធ្វើផ្ទះជួល</t>
  </si>
  <si>
    <t>កំពុងសាងសង់ខែ03-25</t>
  </si>
  <si>
    <t>JL037Change JL069 11-03-25</t>
  </si>
  <si>
    <t>JL069</t>
  </si>
  <si>
    <t>កំពុងសាងសង់ខែ03-25សាឡន</t>
  </si>
  <si>
    <t>2នាក់ប្តីប្រពន្ធនៅតាកែវចាំកក់ថ្ងៃសិទ្ធនារី</t>
  </si>
  <si>
    <t>ធ្វើនៅMavolកក់ថ្ងៃសិទ្ធនារី2នាក់ប្តីប្រពន្ធ</t>
  </si>
  <si>
    <t>JL908</t>
  </si>
  <si>
    <t>រស់ សម្ភស្ស</t>
  </si>
  <si>
    <t>086 / 089 362462</t>
  </si>
  <si>
    <t>បងស្រីមានផ្ទះដីច្រើនរកធ្វើផ្ទះជួល</t>
  </si>
  <si>
    <t>Freelance C=JL132បង់គ្រប់1000$</t>
  </si>
  <si>
    <t>JL125+JL126</t>
  </si>
  <si>
    <t>070 272621</t>
  </si>
  <si>
    <t>JL436</t>
  </si>
  <si>
    <t>ហៃ វន</t>
  </si>
  <si>
    <t>077 787276 / 066 398378</t>
  </si>
  <si>
    <t>JL053</t>
  </si>
  <si>
    <t>នួន ថាវី</t>
  </si>
  <si>
    <t>081 / 012 612324</t>
  </si>
  <si>
    <t>I537</t>
  </si>
  <si>
    <t>ចុន មួយហ៊ា</t>
  </si>
  <si>
    <t>រំលស់10ឆ្នាំទឹកប្រាក់18605$ជាមួយបុរី</t>
  </si>
  <si>
    <t>រំលស់10ឆ្នាំទឹកប្រាក់27600$ជាមួយបុរី</t>
  </si>
  <si>
    <t>JL431</t>
  </si>
  <si>
    <t>គឹម ប៊ុន</t>
  </si>
  <si>
    <t>015​ 931438</t>
  </si>
  <si>
    <t>JL045</t>
  </si>
  <si>
    <t>លន់ ស្រីពេជ្រ</t>
  </si>
  <si>
    <t>071 9226779 / 097 2104291</t>
  </si>
  <si>
    <t>អេន អឿន</t>
  </si>
  <si>
    <t>099 314179 / 098 579394</t>
  </si>
  <si>
    <t>អូនស្រីនៅធ្វើការវឌ្ឍនះរំលស់30ខែ6556$</t>
  </si>
  <si>
    <t>JL432</t>
  </si>
  <si>
    <t>ប្តូរយកតែ1ឡូតវិញថ្ងៃទី21-04-25</t>
  </si>
  <si>
    <t>JL447+JL448</t>
  </si>
  <si>
    <t>បូ​ គឹមនី</t>
  </si>
  <si>
    <t>088 8888322/ 096 6666433</t>
  </si>
  <si>
    <t>Freelance C =JL030</t>
  </si>
  <si>
    <t>JL433</t>
  </si>
  <si>
    <t>យ៉ាន់ ស្រីនិច</t>
  </si>
  <si>
    <t>017​ 620874 / 015​ 6562</t>
  </si>
  <si>
    <t>ជុំ លី</t>
  </si>
  <si>
    <t>093 394889 / 088 5668024</t>
  </si>
  <si>
    <t>JL501+JL502</t>
  </si>
  <si>
    <t>ឈៀង ប្រុស</t>
  </si>
  <si>
    <t>096 8500160 / 096 5824868</t>
  </si>
  <si>
    <t>JL145</t>
  </si>
  <si>
    <t>ឈឹម ជៃ</t>
  </si>
  <si>
    <t>088 8825027 / 010 352321</t>
  </si>
  <si>
    <t>ដន សុភាស់</t>
  </si>
  <si>
    <t>សាងសង់</t>
  </si>
  <si>
    <t>សាងសង់ផ្ទះ</t>
  </si>
  <si>
    <t>JL055</t>
  </si>
  <si>
    <t>ផូ​ ផៃ</t>
  </si>
  <si>
    <t>បងប្អូនផ្ទះI126</t>
  </si>
  <si>
    <t>070 583456</t>
  </si>
  <si>
    <t>JL452</t>
  </si>
  <si>
    <t>វង្ស សុផល</t>
  </si>
  <si>
    <t>66 628980928 Thai / 087 863813</t>
  </si>
  <si>
    <t>បង់រួចសរុបបាន1000$ សុំHold JL503</t>
  </si>
  <si>
    <t>រំលស់ទឹកប្រាក់19554$ជាមួយបុរី10ឆ្នាំ=308$លើកទី1</t>
  </si>
  <si>
    <t>សុំយកវិញលក់ជាផ្ទះ25000$/បង់យ៉ាងតិច150$/1ខែ</t>
  </si>
  <si>
    <t>JL315</t>
  </si>
  <si>
    <t>4*13</t>
  </si>
  <si>
    <t>JL467+JL468</t>
  </si>
  <si>
    <t>JL506</t>
  </si>
  <si>
    <t>JL084+JL085</t>
  </si>
  <si>
    <t>ជន សុខរ៉េន</t>
  </si>
  <si>
    <t>067 641471</t>
  </si>
  <si>
    <t>BL306</t>
  </si>
  <si>
    <t>ញ៉ាំង សាវី</t>
  </si>
  <si>
    <t>070 435959 / 011 435959</t>
  </si>
  <si>
    <t>JL948</t>
  </si>
  <si>
    <t>មូល សំណាង+វ៉ាន់ ស្រីវេត</t>
  </si>
  <si>
    <t>រំលស់24ខែអត់ការប្រាក់បង់យ៉ាងតិច200$/1ខែ</t>
  </si>
  <si>
    <t>ពិនិត្យ</t>
  </si>
  <si>
    <t>JL203+JL247</t>
  </si>
  <si>
    <t>អ្នកគ្រូ ភត្រ្តា</t>
  </si>
  <si>
    <t>JL146</t>
  </si>
  <si>
    <t>ប្រាក់ សុវណ្ណរ៉ែន</t>
  </si>
  <si>
    <t>093 225623</t>
  </si>
  <si>
    <t>35%=14875$-បង់បាន8050$=6825$រំលស់34ខែជាមួយបុរី</t>
  </si>
  <si>
    <t>ញាន រ៉ាឌី</t>
  </si>
  <si>
    <t>081​ 263690​ /097​ 7205192</t>
  </si>
  <si>
    <t>BL304</t>
  </si>
  <si>
    <t>ម៉ុម វណ្ណា</t>
  </si>
  <si>
    <t>088​ 8445783 / 088 4600159</t>
  </si>
  <si>
    <t>BL305</t>
  </si>
  <si>
    <t>ចយ ស៊ាងលី</t>
  </si>
  <si>
    <t>060 924575</t>
  </si>
  <si>
    <t>JL446</t>
  </si>
  <si>
    <t>ង៉ែត ភារ៉ា</t>
  </si>
  <si>
    <t>016​ 563531 / 016 294317</t>
  </si>
  <si>
    <t>Walk In (Sister old customer line B)/JL446 Open Comm 50$</t>
  </si>
  <si>
    <t>JL065</t>
  </si>
  <si>
    <t>JL088</t>
  </si>
  <si>
    <t>JL092+JL093</t>
  </si>
  <si>
    <t>ឃន វណ្ណា</t>
  </si>
  <si>
    <t>087 295558 / 097 7505079</t>
  </si>
  <si>
    <t>JL051+JL052</t>
  </si>
  <si>
    <t>JL087</t>
  </si>
  <si>
    <t>បូ សីលា</t>
  </si>
  <si>
    <t>016 245631 / 060 900615</t>
  </si>
  <si>
    <t>បងប្រុសម៉ៅការសំនង់ម៉នដានី</t>
  </si>
  <si>
    <t>ប្តីចិនសុំបន្ថែមខែ08កក់បាន100$</t>
  </si>
  <si>
    <t>ខន មត់</t>
  </si>
  <si>
    <t>JL083</t>
  </si>
  <si>
    <t>តន់ សារុំ</t>
  </si>
  <si>
    <t>097 2249000 / 070 294900</t>
  </si>
  <si>
    <t>IL105</t>
  </si>
  <si>
    <t>ម៉េង ស្រីរ័ត្ន</t>
  </si>
  <si>
    <t>096​ 4498889​ / 011 552551</t>
  </si>
  <si>
    <t>JL066</t>
  </si>
  <si>
    <t>គង់​ រឿន</t>
  </si>
  <si>
    <t>086 655605 / 098 443239</t>
  </si>
  <si>
    <t>JL076</t>
  </si>
  <si>
    <t>សាន់ សុផារ័ត្ន</t>
  </si>
  <si>
    <t>097 5396600 / 097 2061097</t>
  </si>
  <si>
    <t>JL149</t>
  </si>
  <si>
    <t>ទួន សារួន</t>
  </si>
  <si>
    <t>JL070+JL071</t>
  </si>
  <si>
    <t>សូត សារី</t>
  </si>
  <si>
    <t>015 259084 / 067 503257</t>
  </si>
  <si>
    <t>Freelance C JL128 នាំមកបងប្អូន</t>
  </si>
  <si>
    <t>សម្រស់​ ពិសិដ្ឋ</t>
  </si>
  <si>
    <t>077​ 988158</t>
  </si>
  <si>
    <t>JL504</t>
  </si>
  <si>
    <t>JL505</t>
  </si>
  <si>
    <t>077​ 988159</t>
  </si>
  <si>
    <t>Freelance C I129 នាំមកម៉ែធម៍</t>
  </si>
  <si>
    <t>JL465</t>
  </si>
  <si>
    <t>ពិជ្រ ចាន់ធឿន</t>
  </si>
  <si>
    <t>071 4733332</t>
  </si>
  <si>
    <t>F32</t>
  </si>
  <si>
    <t>អ៊ុក ធារី</t>
  </si>
  <si>
    <t>088​ 4449107 / 081 361463</t>
  </si>
  <si>
    <t>ញ៉ាន ម៉ារ៉ាឌី</t>
  </si>
  <si>
    <t>088​ 7530681</t>
  </si>
  <si>
    <t>JL445</t>
  </si>
  <si>
    <t>រម្យ ភារ៉ាម</t>
  </si>
  <si>
    <t>067 803809 / 067 387892</t>
  </si>
  <si>
    <t>Walk In</t>
  </si>
  <si>
    <t>សឿន សម្បត្តិ</t>
  </si>
  <si>
    <t>012 888196 / 096 9888196</t>
  </si>
  <si>
    <t>JL313</t>
  </si>
  <si>
    <t>JL449</t>
  </si>
  <si>
    <t>ប៊ុត ម្នី</t>
  </si>
  <si>
    <t>098 728898</t>
  </si>
  <si>
    <t>Freelance C JL434+JL435</t>
  </si>
  <si>
    <t>JL062</t>
  </si>
  <si>
    <t>JL060</t>
  </si>
  <si>
    <t>រស់ រតនា</t>
  </si>
  <si>
    <t>016 334207 / 071 6262228</t>
  </si>
  <si>
    <t>JL509</t>
  </si>
  <si>
    <t>ឡុង ចំរើន</t>
  </si>
  <si>
    <t>012 826382 / 012 951135</t>
  </si>
  <si>
    <t>JL312</t>
  </si>
  <si>
    <t>ឡុង លីណា</t>
  </si>
  <si>
    <t>014 531616 / 010 522212</t>
  </si>
  <si>
    <t>អតិថិជនចាស់I129/សុំបង់100$ដល់ដាច់ឆ្នាំ</t>
  </si>
  <si>
    <t>JL073</t>
  </si>
  <si>
    <t>B201</t>
  </si>
  <si>
    <t>B202</t>
  </si>
  <si>
    <t>017 239587 / 092 908735</t>
  </si>
  <si>
    <t>ប្តីប្រពន្ធយករួម1ឡូត</t>
  </si>
  <si>
    <t>ប៊ុញសុភ័ក្រ</t>
  </si>
  <si>
    <t>18 239587 / 092 908735</t>
  </si>
  <si>
    <t>ប្រពន្ធយកខ្លួនឯង1ឡូតទៀត</t>
  </si>
  <si>
    <t>JL061</t>
  </si>
  <si>
    <t>យ៉ែត ធី</t>
  </si>
  <si>
    <t>097 5254306 / 088 5483953</t>
  </si>
  <si>
    <t>តឹប ស្រីអូន</t>
  </si>
  <si>
    <t>068 371692 / 097 8216283</t>
  </si>
  <si>
    <t>ស៊ុន ស្រីនិច</t>
  </si>
  <si>
    <t>010 585841 / 017 311115</t>
  </si>
  <si>
    <t>តារាចំរៀង</t>
  </si>
  <si>
    <t>កុងត្រាខ្វះក្រយៅដៃប្តី</t>
  </si>
  <si>
    <t>JL309+JL310</t>
  </si>
  <si>
    <t>096​ 3444817/096 4037668</t>
  </si>
  <si>
    <t>JL077</t>
  </si>
  <si>
    <t>JL564</t>
  </si>
  <si>
    <t>ជាន ជីលិញ</t>
  </si>
  <si>
    <t>071 2324879 / 097 7868535</t>
  </si>
  <si>
    <t>JL909</t>
  </si>
  <si>
    <t>អឹម ផល្លា</t>
  </si>
  <si>
    <t>097 2699997 / 011 283212</t>
  </si>
  <si>
    <t>JL427+JL428</t>
  </si>
  <si>
    <t>BL301</t>
  </si>
  <si>
    <t>BL307</t>
  </si>
  <si>
    <t>JL154</t>
  </si>
  <si>
    <t>JL072</t>
  </si>
  <si>
    <t>យ៉ា សំណាង</t>
  </si>
  <si>
    <t>070 779360 / 066 272819</t>
  </si>
  <si>
    <t>JL314</t>
  </si>
  <si>
    <t>អៀម លក្ខណា</t>
  </si>
  <si>
    <t>097 4059194</t>
  </si>
  <si>
    <t>JL094</t>
  </si>
  <si>
    <t>ឌី នីតា</t>
  </si>
  <si>
    <t>088 5279599 / 096 2467786</t>
  </si>
  <si>
    <t>JL332+JL333</t>
  </si>
  <si>
    <t>ឯម រឿន</t>
  </si>
  <si>
    <t>081 729637 / 016 334801</t>
  </si>
  <si>
    <t xml:space="preserve">Walk In </t>
  </si>
  <si>
    <t>JL308</t>
  </si>
  <si>
    <t>អ៊ន់ វ៉ង់ឌី</t>
  </si>
  <si>
    <t>010 383979 / 097 2868992</t>
  </si>
  <si>
    <t>088 2420947</t>
  </si>
  <si>
    <t>JL080</t>
  </si>
  <si>
    <t>JL316</t>
  </si>
  <si>
    <t>JL245</t>
  </si>
  <si>
    <t>JL322</t>
  </si>
  <si>
    <t>JL513+JL514</t>
  </si>
  <si>
    <t>ហួន ផាត</t>
  </si>
  <si>
    <t>អៀម បុន្នី</t>
  </si>
  <si>
    <t>គង់ សុផល្លី</t>
  </si>
  <si>
    <t>នាង ទូច</t>
  </si>
  <si>
    <t>085 207373 / 016 903655</t>
  </si>
  <si>
    <t>067 663344 / 088 3333837</t>
  </si>
  <si>
    <t>086 485188 / 090 532280</t>
  </si>
  <si>
    <t>បងប្រុសរត់កង់បីប្រពន្ធមានដីនៅកោះកុង</t>
  </si>
  <si>
    <t>076 9990756</t>
  </si>
  <si>
    <t>សុំប្តូរអោយប្អូនបង្កើតវិញខែ09</t>
  </si>
  <si>
    <t>សុំចាក់ដីបន្ថែមទើបបង់/បង់គ្រប់1000$ខែ09</t>
  </si>
  <si>
    <t>បងស្រីបកប្រែអោយចិនកូនប្រុស3នាក់នៅបឹងស្នោ</t>
  </si>
  <si>
    <t>JL328+JL329</t>
  </si>
  <si>
    <t>សាន់ ដែន</t>
  </si>
  <si>
    <t>096​ 9950097</t>
  </si>
  <si>
    <t>មិត្តភក្តិអ្នកគ្រូធារីធ្លាប់ចាញ់បោកគេ2កន្លែង</t>
  </si>
  <si>
    <t>JL089</t>
  </si>
  <si>
    <t>ជា ម៉ូលីការ</t>
  </si>
  <si>
    <t>015​ 756757 / 010 775070</t>
  </si>
  <si>
    <t>JL515</t>
  </si>
  <si>
    <t>ស្រួច ស្រន់</t>
  </si>
  <si>
    <t>076 6595339 / 092 530313</t>
  </si>
  <si>
    <t>កើត សីឡា</t>
  </si>
  <si>
    <t>070 587687 / 088 5063962</t>
  </si>
  <si>
    <t>JL037</t>
  </si>
  <si>
    <t>JL090+JL091</t>
  </si>
  <si>
    <t>អូន សំណាង</t>
  </si>
  <si>
    <t>096 3660782 / 088 6801092</t>
  </si>
  <si>
    <t>JL510</t>
  </si>
  <si>
    <t>JL511</t>
  </si>
  <si>
    <t>អ៊ុន អេង+បានវាសនា</t>
  </si>
  <si>
    <t>017​2545143/069​ 412699</t>
  </si>
  <si>
    <t>បាន ចាន់រិទ្ធ</t>
  </si>
  <si>
    <t>096 8374350 / 097 3960776</t>
  </si>
  <si>
    <t>ពូ​រឺម៉កលក់ផ្លែឈើនិងបន្លែ</t>
  </si>
  <si>
    <t>JL068</t>
  </si>
  <si>
    <t>ជាប ស៊ីម</t>
  </si>
  <si>
    <t>061 200242​ / 095 339349</t>
  </si>
  <si>
    <t>JL337</t>
  </si>
  <si>
    <t>នៅខ្វះកុងត្រាJL428</t>
  </si>
  <si>
    <t>ខ្វះខែចាស់50$</t>
  </si>
  <si>
    <t>JL438</t>
  </si>
  <si>
    <t>អៀង សុផាន់ណា</t>
  </si>
  <si>
    <t>070 771017 / 015 796829</t>
  </si>
  <si>
    <t>097 8393403 / 097 3707829</t>
  </si>
  <si>
    <t>អឹម ភត្រ្តា+ប៊ុញសុភ័ក្រ</t>
  </si>
  <si>
    <t>លោកគ្រូ JR</t>
  </si>
  <si>
    <t>កក់500$រួច</t>
  </si>
  <si>
    <t>កក់1000$រួចបង់យ៉ាងតិច200$/1ខែ</t>
  </si>
  <si>
    <t>កក់យកJL131=150$Date 10-10-24</t>
  </si>
  <si>
    <t>មីងលក់ត្រីនៅអាវលឿងFreelance C 097 4841782</t>
  </si>
  <si>
    <t>Freelance C AL065/តូបផ្សារបន្លែចាស់</t>
  </si>
  <si>
    <t>ក្មួយ Freelance C JL030</t>
  </si>
  <si>
    <t>Freelance C=F209​ កំពុងធ្វើផ្ទះ</t>
  </si>
  <si>
    <t>ប្រពន្ធលក់ផលិតផលonlineល្អពីកូរ៉េសង់ផ្ទះរួច</t>
  </si>
  <si>
    <t>ភ្ញៀវ Freelance C H110/រំលស់18ខែដល់15-04-26</t>
  </si>
  <si>
    <t>Freelance C E44 បើកសាឡន</t>
  </si>
  <si>
    <t>Freelance C BL301 បងឡៃស៊ីម</t>
  </si>
  <si>
    <t xml:space="preserve">Freelance C ភ្ញៀវយាយការ៉េ+កែបុល </t>
  </si>
  <si>
    <t>Freelance C ម្តាយចូលផេកយកកំរៃជើងសារ</t>
  </si>
  <si>
    <t>បង់ផ្តាច់រួចរួច 30-04-25</t>
  </si>
  <si>
    <t>Walk In /បងបង្កើតI309 Add more 15-04-25=200$</t>
  </si>
  <si>
    <t>Walk In បង្វិលលុយJL028=300$ចូលJL027រួច27-09-25</t>
  </si>
  <si>
    <t>បានប្លង់បង់ផ្តាច់ Walk In 24300$</t>
  </si>
  <si>
    <t>រំលស់ទឹកប្រាក់16500$/10ឆ្នាំ​លុយកន្ទុយខ្វះ500$ផ្តាច់01-01-26</t>
  </si>
  <si>
    <t>បង់គ្រប់30%រំលស់25000$រយះពេល96ខែ=423$</t>
  </si>
  <si>
    <t>LOLC Approved 12-12-24បានប្លង់យកធនាគារបង់ផ្តាច់</t>
  </si>
  <si>
    <t>Freelance C JL432 នាំមក Close Theary សាងសង់ផ្ទះ</t>
  </si>
  <si>
    <t>Freelance C Lo404 086447372នាំមកធ្វើការនៅវឌ្ឃនះ</t>
  </si>
  <si>
    <r>
      <rPr>
        <sz val="10"/>
        <color theme="1"/>
        <rFont val="Khmer OS Battambang"/>
      </rPr>
      <t>កក់មុន1500$ចូលនៅរំលស់5400$អោយប់30%រយះពេល38ខែ=178$</t>
    </r>
    <r>
      <rPr>
        <sz val="10"/>
        <color theme="1"/>
        <rFont val="Times New Roman"/>
        <family val="1"/>
      </rPr>
      <t>(Walk In)</t>
    </r>
  </si>
  <si>
    <t>ប្រាក់ត្រូវបង់</t>
  </si>
  <si>
    <t>អត់ទាន់បង់ខែ10-25</t>
  </si>
  <si>
    <t xml:space="preserve">Freelance C=F150 bring </t>
  </si>
  <si>
    <t>អត់ទាន់បង់ខែ10</t>
  </si>
  <si>
    <t>អត់ទាន់បង់ខែ09+10+11សុំដាច់ខែបង់សរុប600$</t>
  </si>
  <si>
    <t>អត់ទាន់បង់ខែ08+09+10+11</t>
  </si>
  <si>
    <t>JL142</t>
  </si>
  <si>
    <t>ម៉ែល សំផានី</t>
  </si>
  <si>
    <t>JL334</t>
  </si>
  <si>
    <t>យី សុខខន</t>
  </si>
  <si>
    <t>096 7027880</t>
  </si>
  <si>
    <t>Freelance C=JL308</t>
  </si>
  <si>
    <t>JL323</t>
  </si>
  <si>
    <t>នូ សាវី</t>
  </si>
  <si>
    <t>096 6410035 / 098 778798</t>
  </si>
  <si>
    <t>JL086</t>
  </si>
  <si>
    <t>ដុំ បូរ៉ា</t>
  </si>
  <si>
    <t>015​ 460027 / 070 415257</t>
  </si>
  <si>
    <t>JL035</t>
  </si>
  <si>
    <t>ម៉ន ក្នីត</t>
  </si>
  <si>
    <t>081 480200</t>
  </si>
  <si>
    <t>ឡាត់ ត្រេន</t>
  </si>
  <si>
    <t>081​ 983200</t>
  </si>
  <si>
    <t>JL320</t>
  </si>
  <si>
    <t>ថា ចាន់កុមា</t>
  </si>
  <si>
    <t>098​ 921210 / 098 921211</t>
  </si>
  <si>
    <t>JL041+JL042</t>
  </si>
  <si>
    <t>គង់ គឹមហេង</t>
  </si>
  <si>
    <t>081922009 / 088 9006704</t>
  </si>
  <si>
    <t>097​ 9536881/088 7140820</t>
  </si>
  <si>
    <t>ស៊ុំ ដារ៉ា</t>
  </si>
  <si>
    <t>088​ 9794098</t>
  </si>
  <si>
    <t>25-11បង់សម្រាប់ខែ09/25-12សម្រាប់ខែ10/10-01-26ផ្តាច់200$</t>
  </si>
  <si>
    <t>JL078</t>
  </si>
  <si>
    <t>សាន ក្លឹង</t>
  </si>
  <si>
    <t>015 610471 / 096 6125481</t>
  </si>
  <si>
    <t>អត់ទាន់បង់ខែ09​+10+11</t>
  </si>
  <si>
    <t>ថ្ងៃ10-11បង់សម្រាប់ខែ09/ថ្ងៃ29-11សម្រាប់ខែ10/ថ្ងៃ10-12សម្រាប់ខែ11</t>
  </si>
  <si>
    <t>097​ 4591559/0886429807</t>
  </si>
  <si>
    <t>JL330+JL331</t>
  </si>
  <si>
    <t>ណែម សុទន់</t>
  </si>
  <si>
    <t>096​ 8744606 / 089 738293</t>
  </si>
  <si>
    <t>FreelanceC=JL332+JL333ឯមរឿន</t>
  </si>
  <si>
    <t>JL356</t>
  </si>
  <si>
    <t>សាន និច</t>
  </si>
  <si>
    <t>069 497313 / 070 3781114</t>
  </si>
  <si>
    <t>change from JL037</t>
  </si>
  <si>
    <t>ឆោម សុវណ្ណា</t>
  </si>
  <si>
    <t>096 438587</t>
  </si>
  <si>
    <t>JL324</t>
  </si>
  <si>
    <t>ប្រាក់ ពណ្ណារាយ</t>
  </si>
  <si>
    <t>010 524168 / 088 4829157</t>
  </si>
  <si>
    <t>JL317</t>
  </si>
  <si>
    <t>វ៉ន ប៊ុណ្ណ:ណារ៉ា</t>
  </si>
  <si>
    <t>096 8941460 / 097 6427335</t>
  </si>
  <si>
    <t>បង់1000$រួច</t>
  </si>
  <si>
    <t>JL311</t>
  </si>
  <si>
    <t>គួន ផល្លា</t>
  </si>
  <si>
    <t>096 9725202 / 060 224042</t>
  </si>
  <si>
    <t>ម្តាយកូន5</t>
  </si>
  <si>
    <t>JL466</t>
  </si>
  <si>
    <t>តូច ចំរើន</t>
  </si>
  <si>
    <t>016 736376 / 077 382778</t>
  </si>
  <si>
    <t>JL325</t>
  </si>
  <si>
    <t>វៃ ធី</t>
  </si>
  <si>
    <t>011 737529 / 071 5437893</t>
  </si>
  <si>
    <t>JL081+JL082</t>
  </si>
  <si>
    <t>ស៊ន ចន្រ្តា</t>
  </si>
  <si>
    <t>096​ 9993552/096 9590427</t>
  </si>
  <si>
    <t>អតិថិជននៅបាត់ដំបង</t>
  </si>
  <si>
    <t>ផាត​ ផារ៉ែន</t>
  </si>
  <si>
    <t>096 5899599 / 071 5444689</t>
  </si>
  <si>
    <t>បងស្រីធ្វើផ្ទះជួល</t>
  </si>
  <si>
    <t>JL138</t>
  </si>
  <si>
    <t>ប៊ុន ស្រីនាង</t>
  </si>
  <si>
    <t>096 5859285 / 088 8886528</t>
  </si>
  <si>
    <t>JL326+JL327</t>
  </si>
  <si>
    <t>ស៊ុន រីកា</t>
  </si>
  <si>
    <t>081 696280 / 081 291045</t>
  </si>
  <si>
    <t>JL335</t>
  </si>
  <si>
    <t>កៅ យឿន</t>
  </si>
  <si>
    <t>096 5614182 / 085 266883</t>
  </si>
  <si>
    <t>JL321</t>
  </si>
  <si>
    <t>ប៊ន បារាំង</t>
  </si>
  <si>
    <t>088​ 8830723 / 096 5406303</t>
  </si>
  <si>
    <t>ចេង​ វណ្ណារី+អ៊ុន សុថា</t>
  </si>
  <si>
    <t>097​ 6162689 / 096 9209863</t>
  </si>
  <si>
    <t>បងប្អូនJL040+JL041/កូននៅកូរ៉េ​/ឪពុកទ្រួយវណ្ណា</t>
  </si>
  <si>
    <t>អ៊ុយ សុផន</t>
  </si>
  <si>
    <t>096 5795567 / 097 8968020</t>
  </si>
  <si>
    <t>JL519+JL520</t>
  </si>
  <si>
    <t>អយ សៅ</t>
  </si>
  <si>
    <t>012 971007</t>
  </si>
  <si>
    <t>បង់ផ្តាច់</t>
  </si>
  <si>
    <t>រំលស់70%ជាមួយបុរីចាំប្លង់96ខែចាប់រំលស់11-11-25</t>
  </si>
  <si>
    <t>ប្តូរតារាងថ្មីរំលស់30ខែជាមួយបុរីAmounth 5000$</t>
  </si>
  <si>
    <t>ពូមានរឺម៉កប៉ះកង់ចល័តរំលស់30ខែជាមួយបុរី30%ដល់17-01-27</t>
  </si>
  <si>
    <t>JL934 Change JL315 Date 04-06-25</t>
  </si>
  <si>
    <t>01-12-25បង់សម្រាប់ខែ10/ថ្ងៃ29-12-25បង់សម្រាប់ខែ12នៅខ្វះប្រាក់ពិន័យ120$</t>
  </si>
  <si>
    <t>ខែ09នៅខ្វះ50$+ខែ10+ខែ11/បង់150$/ 26-11បង់150$សម្រាប់ខែ10</t>
  </si>
  <si>
    <t>សុំបង់01-12-25 នៅខ្វះខែ11+ខែ12</t>
  </si>
  <si>
    <r>
      <rPr>
        <sz val="9"/>
        <color theme="1"/>
        <rFont val="Times New Roman"/>
        <family val="1"/>
      </rPr>
      <t>Walk In + freelanceC</t>
    </r>
    <r>
      <rPr>
        <sz val="9"/>
        <color theme="1"/>
        <rFont val="Khmer OS Battambang"/>
      </rPr>
      <t>នៅជួរអ្នកគ្រូធារីបង់គ្រប់</t>
    </r>
    <r>
      <rPr>
        <sz val="9"/>
        <color theme="1"/>
        <rFont val="Times New Roman"/>
        <family val="1"/>
      </rPr>
      <t>1500$</t>
    </r>
    <r>
      <rPr>
        <sz val="9"/>
        <color theme="1"/>
        <rFont val="Khmer OS Battambang"/>
      </rPr>
      <t>ចូលនៅបង់រំលស់25ខែ</t>
    </r>
    <r>
      <rPr>
        <sz val="9"/>
        <color theme="1"/>
        <rFont val="Times New Roman"/>
        <family val="1"/>
      </rPr>
      <t>Amount 6600$</t>
    </r>
  </si>
  <si>
    <t>JL517+JL518</t>
  </si>
  <si>
    <t>ម៉ាន់ គឹមហួត</t>
  </si>
  <si>
    <t>088 6040765 / 093 624888</t>
  </si>
  <si>
    <t>អត់ទាន់បង់ខែ11</t>
  </si>
  <si>
    <t>អត់ទាន់បង់ខែ10​​ / មានបញ្ហាគ្រួសារសុំពន្យា2ខែ</t>
  </si>
  <si>
    <t>JL036</t>
  </si>
  <si>
    <t>សៅ ចរិយា</t>
  </si>
  <si>
    <t>070 497653 / 087 383237</t>
  </si>
  <si>
    <r>
      <rPr>
        <sz val="10"/>
        <color theme="1"/>
        <rFont val="Times New Roman"/>
        <family val="1"/>
      </rPr>
      <t xml:space="preserve">Freelance C JL086 </t>
    </r>
    <r>
      <rPr>
        <sz val="10"/>
        <color theme="1"/>
        <rFont val="Khmer OS Battambang"/>
      </rPr>
      <t xml:space="preserve">ដុំ បូរ៉ានាំមក /​ </t>
    </r>
    <r>
      <rPr>
        <sz val="10"/>
        <color theme="1"/>
        <rFont val="Times New Roman"/>
        <family val="1"/>
      </rPr>
      <t>Close=Sros+Seyi</t>
    </r>
  </si>
  <si>
    <t>JL048+JL049</t>
  </si>
  <si>
    <t>កែវ វិចិត្រ</t>
  </si>
  <si>
    <t>015 /077 606609</t>
  </si>
  <si>
    <t>អ្នកចេះដឹង</t>
  </si>
  <si>
    <t>ប្រាក់ ស្រីពៅ</t>
  </si>
  <si>
    <t>096 260176 / 096 9232419</t>
  </si>
  <si>
    <t>Walk In បង់គ្រប់1000$02-11-25</t>
  </si>
  <si>
    <t>JL567</t>
  </si>
  <si>
    <t>ប៉ាន់ ម៉ៃ</t>
  </si>
  <si>
    <t>015 525502 / 097 8677018</t>
  </si>
  <si>
    <r>
      <rPr>
        <sz val="10"/>
        <color theme="1"/>
        <rFont val="Times New Roman"/>
        <family val="1"/>
      </rPr>
      <t>FreelanceCJL053</t>
    </r>
    <r>
      <rPr>
        <sz val="10"/>
        <color theme="1"/>
        <rFont val="Khmer OS Battambang"/>
      </rPr>
      <t xml:space="preserve"> គ្រូគណិតប្តូរពី</t>
    </r>
    <r>
      <rPr>
        <sz val="10"/>
        <color theme="1"/>
        <rFont val="Times New Roman"/>
        <family val="1"/>
      </rPr>
      <t>JL201+JL202</t>
    </r>
    <r>
      <rPr>
        <sz val="10"/>
        <color theme="1"/>
        <rFont val="Khmer OS Battambang"/>
      </rPr>
      <t xml:space="preserve">ប្តូរ </t>
    </r>
    <r>
      <rPr>
        <sz val="10"/>
        <color theme="1"/>
        <rFont val="Times New Roman"/>
        <family val="1"/>
      </rPr>
      <t>17-11-25</t>
    </r>
  </si>
  <si>
    <t>អត់ទាន់បង់ខែ09+10+11/25</t>
  </si>
  <si>
    <t>ប៊ូ សុភ័ណ</t>
  </si>
  <si>
    <t>097 5554306 / 010 543975</t>
  </si>
  <si>
    <t>AL067</t>
  </si>
  <si>
    <t>ឡុង ធីតា</t>
  </si>
  <si>
    <t>015 478825 / 070 556593</t>
  </si>
  <si>
    <t>ពិន សុផាន</t>
  </si>
  <si>
    <t>092 328329 / 096 2079996</t>
  </si>
  <si>
    <t>កក់ភ្លាមយប់សុំដកលុយកក់ថាម្តាយចូលសង្រ្គោះបន្ទាន់</t>
  </si>
  <si>
    <t>អត់ទាន់បង់ខែ11/មីងធ្វើផ្ទះឈើ</t>
  </si>
  <si>
    <t>Walk In​ yab</t>
  </si>
  <si>
    <r>
      <rPr>
        <sz val="10"/>
        <color theme="1"/>
        <rFont val="Times New Roman"/>
        <family val="1"/>
      </rPr>
      <t>Freelance C JL513+JL514</t>
    </r>
    <r>
      <rPr>
        <sz val="10"/>
        <color theme="1"/>
        <rFont val="Khmer OS Battambang"/>
      </rPr>
      <t xml:space="preserve"> នាងទូចសង់ផ្ទះជួល</t>
    </r>
  </si>
  <si>
    <t>សុំប្តូរយកតូបផ្សារបន្លែវិញកក់បាន200$</t>
  </si>
  <si>
    <t>ត្រូវប្តូរមកឡូតជាក់ស្តែងJL336វិញ</t>
  </si>
  <si>
    <t>សឹម សារ៉ាត់</t>
  </si>
  <si>
    <t>010/017 587238</t>
  </si>
  <si>
    <r>
      <rPr>
        <sz val="10"/>
        <color theme="1"/>
        <rFont val="Times New Roman"/>
        <family val="1"/>
      </rPr>
      <t>JL566+JL567</t>
    </r>
    <r>
      <rPr>
        <sz val="10"/>
        <color theme="1"/>
        <rFont val="Khmer OS Battambang"/>
      </rPr>
      <t xml:space="preserve">សុំប្តូរយកមួយឡូតវិញ </t>
    </r>
    <r>
      <rPr>
        <sz val="10"/>
        <color theme="1"/>
        <rFont val="Times New Roman"/>
        <family val="1"/>
      </rPr>
      <t>JL506</t>
    </r>
  </si>
  <si>
    <t>អ្នកគ្រូ ស៊ឺ អ៊ី</t>
  </si>
  <si>
    <t>នាំក្មួយមកទិញJL070+JL071</t>
  </si>
  <si>
    <t>JL075</t>
  </si>
  <si>
    <t>JL074</t>
  </si>
  <si>
    <t>គឹម សំណាង</t>
  </si>
  <si>
    <t>086 850691 / 097 9976894</t>
  </si>
  <si>
    <t>JL516</t>
  </si>
  <si>
    <t>នាង ផល្លីន</t>
  </si>
  <si>
    <t>016 664853</t>
  </si>
  <si>
    <t>ហាន សុភាព</t>
  </si>
  <si>
    <t>096 8783181 / 069 687057</t>
  </si>
  <si>
    <t>JL046</t>
  </si>
  <si>
    <t>JL507+JL508</t>
  </si>
  <si>
    <t>Change FromJL062  នៅខ្វះខែ11=100$សុំបង់07-12-25</t>
  </si>
  <si>
    <t>FreelanceC JL432បង់តិចបំផុត150$អត់ទាន់បង់ខែ11និងពិន័យ189$</t>
  </si>
  <si>
    <t>អត់ទាន់បង់ខែ09+10+11សុំ03-11-25បង់សរុប200$</t>
  </si>
  <si>
    <t>អត់ទាន់បង់ខែ10+11</t>
  </si>
  <si>
    <t>លោកគ្រូ បី រី</t>
  </si>
  <si>
    <t>ថ្ងៃ25-11សុំបង់300$សម្រាប់ខែ10និងនៅខ្វះខែ11+12</t>
  </si>
  <si>
    <t>អត់ទាន់បង់ខែ11ទាក់ទងអត់បាន</t>
  </si>
  <si>
    <r>
      <t xml:space="preserve">Old Customer House C10 </t>
    </r>
    <r>
      <rPr>
        <sz val="10"/>
        <color theme="1"/>
        <rFont val="Khmer OS Battambang"/>
      </rPr>
      <t>បងលក់ទឹកត្រី/អត់ទាន់បង់ខែ11</t>
    </r>
  </si>
  <si>
    <t>JL947</t>
  </si>
  <si>
    <t>70 516468 / 071 2216633</t>
  </si>
  <si>
    <t>កក់1000$នៅថ្ងៃ26-11-25រំលស់200យ៉ាងតិច/1ខែ</t>
  </si>
  <si>
    <t>នៅខ្វះខែ11=100$សុំបង់10-12-25</t>
  </si>
  <si>
    <t>ធ្វើផ្ទះទូរកុងទីន័រ អត់ទាន់បង់ខែ11</t>
  </si>
  <si>
    <t>JL566</t>
  </si>
  <si>
    <t>ឌូ ផុល+សុខ រ៉ាឌី</t>
  </si>
  <si>
    <t>081 811270 / 092 399792</t>
  </si>
  <si>
    <t>អត់ទាន់បង់ខែ11-25 /JL436ប្តូរយកJL203+JL247</t>
  </si>
  <si>
    <t>អត់ទាន់បង់ខែ11-25​ / ធ្វើផ្ទះនៅរួច</t>
  </si>
  <si>
    <t>អត់ទាន់បង់ខែ11សុំបង់10-12-25ពិន័យតាមណឹង</t>
  </si>
  <si>
    <t>ថ្ងៃ11-12-25បង់សម្រាប់ខែ11/ 27-12-25បង់200$សម្រាប់ខែ12</t>
  </si>
  <si>
    <t>លោកគ្រូ សាន +អ្នកគ្រូ យ៉ាៗ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</si>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</sst>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0;[Red]0.00"/>
    <numFmt numFmtId="165" formatCode="&quot;$&quot;#,##0.00"/>
  </numFmts>
  <fonts count="2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 Battambang"/>
    </font>
    <font>
      <sz val="11"/>
      <color theme="1"/>
      <name val="Times New Roman"/>
      <family val="1"/>
    </font>
    <font>
      <sz val="10"/>
      <color theme="1"/>
      <name val="Kh Battambang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Khmer OS Battambang"/>
    </font>
    <font>
      <sz val="12"/>
      <color theme="1"/>
      <name val="Khmer Unicode F1"/>
      <family val="1"/>
    </font>
    <font>
      <sz val="11"/>
      <color theme="1"/>
      <name val="Khmer Unicode F1"/>
      <family val="1"/>
    </font>
    <font>
      <sz val="10"/>
      <color theme="1"/>
      <name val="Times New Roman"/>
      <family val="1"/>
    </font>
    <font>
      <sz val="10"/>
      <color theme="1"/>
      <name val="Khmer OS Battambang"/>
    </font>
    <font>
      <sz val="9"/>
      <color theme="1"/>
      <name val="Khmer OS Battambang"/>
    </font>
    <font>
      <b/>
      <sz val="11"/>
      <color theme="1"/>
      <name val="Times New Roman"/>
      <family val="1"/>
    </font>
    <font>
      <sz val="10"/>
      <color theme="1"/>
      <name val="Khmer OS Muol Light"/>
    </font>
    <font>
      <sz val="10"/>
      <color theme="1"/>
      <name val="Khmer OS Muol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Khmer OS Battambang"/>
      <family val="1"/>
    </font>
    <font>
      <sz val="10"/>
      <color theme="1"/>
      <name val="Khmer OS Battambang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2" xfId="0" applyBorder="1"/>
    <xf numFmtId="0" fontId="0" fillId="0" borderId="0" xfId="0" applyBorder="1"/>
    <xf numFmtId="0" fontId="0" fillId="0" borderId="0" xfId="0" applyAlignment="1"/>
    <xf numFmtId="0" fontId="0" fillId="0" borderId="3" xfId="0" applyBorder="1"/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8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14" fontId="4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Border="1"/>
    <xf numFmtId="0" fontId="0" fillId="2" borderId="0" xfId="0" applyFill="1"/>
    <xf numFmtId="14" fontId="11" fillId="0" borderId="1" xfId="0" applyNumberFormat="1" applyFont="1" applyBorder="1" applyAlignment="1">
      <alignment horizontal="center"/>
    </xf>
    <xf numFmtId="0" fontId="13" fillId="0" borderId="0" xfId="0" applyFont="1" applyBorder="1" applyAlignment="1"/>
    <xf numFmtId="0" fontId="13" fillId="0" borderId="0" xfId="0" applyFont="1"/>
    <xf numFmtId="0" fontId="12" fillId="0" borderId="1" xfId="0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14" fontId="4" fillId="0" borderId="1" xfId="0" applyNumberFormat="1" applyFont="1" applyFill="1" applyBorder="1" applyAlignment="1">
      <alignment horizontal="center"/>
    </xf>
    <xf numFmtId="0" fontId="12" fillId="0" borderId="0" xfId="0" applyFont="1"/>
    <xf numFmtId="0" fontId="14" fillId="2" borderId="1" xfId="0" applyFont="1" applyFill="1" applyBorder="1" applyAlignment="1">
      <alignment horizontal="center" vertical="top"/>
    </xf>
    <xf numFmtId="165" fontId="4" fillId="0" borderId="1" xfId="1" applyNumberFormat="1" applyFont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44" fontId="4" fillId="0" borderId="1" xfId="1" applyFont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/>
    <xf numFmtId="0" fontId="17" fillId="0" borderId="0" xfId="0" applyFont="1"/>
    <xf numFmtId="44" fontId="4" fillId="2" borderId="1" xfId="1" applyFont="1" applyFill="1" applyBorder="1" applyAlignment="1"/>
    <xf numFmtId="44" fontId="4" fillId="0" borderId="1" xfId="1" applyFont="1" applyBorder="1" applyAlignment="1"/>
    <xf numFmtId="44" fontId="17" fillId="0" borderId="1" xfId="1" applyFont="1" applyBorder="1" applyAlignment="1">
      <alignment horizontal="center"/>
    </xf>
    <xf numFmtId="44" fontId="17" fillId="0" borderId="1" xfId="1" applyFont="1" applyBorder="1" applyAlignment="1"/>
    <xf numFmtId="0" fontId="15" fillId="2" borderId="1" xfId="0" applyFont="1" applyFill="1" applyBorder="1"/>
    <xf numFmtId="44" fontId="4" fillId="4" borderId="1" xfId="1" applyFont="1" applyFill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/>
    <xf numFmtId="44" fontId="0" fillId="0" borderId="0" xfId="1" applyFont="1"/>
    <xf numFmtId="44" fontId="4" fillId="0" borderId="0" xfId="1" applyFont="1"/>
    <xf numFmtId="44" fontId="4" fillId="3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4" fillId="0" borderId="3" xfId="0" applyFont="1" applyBorder="1"/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165" fontId="17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center" vertical="top"/>
    </xf>
    <xf numFmtId="14" fontId="11" fillId="2" borderId="1" xfId="0" applyNumberFormat="1" applyFont="1" applyFill="1" applyBorder="1" applyAlignment="1">
      <alignment horizontal="center"/>
    </xf>
    <xf numFmtId="0" fontId="18" fillId="0" borderId="0" xfId="0" applyFont="1" applyBorder="1" applyAlignment="1"/>
    <xf numFmtId="0" fontId="19" fillId="0" borderId="0" xfId="0" applyFont="1"/>
    <xf numFmtId="44" fontId="19" fillId="0" borderId="0" xfId="1" applyFont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44" fontId="19" fillId="0" borderId="0" xfId="1" applyFont="1"/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center" vertical="top"/>
    </xf>
    <xf numFmtId="0" fontId="19" fillId="0" borderId="0" xfId="0" applyFont="1" applyBorder="1" applyAlignment="1"/>
    <xf numFmtId="0" fontId="18" fillId="0" borderId="0" xfId="0" applyFont="1" applyAlignment="1"/>
    <xf numFmtId="0" fontId="18" fillId="0" borderId="5" xfId="0" applyFont="1" applyBorder="1" applyAlignment="1">
      <alignment horizontal="center"/>
    </xf>
    <xf numFmtId="0" fontId="11" fillId="0" borderId="3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vertical="top"/>
    </xf>
    <xf numFmtId="0" fontId="18" fillId="0" borderId="0" xfId="0" applyFont="1" applyBorder="1" applyAlignment="1">
      <alignment horizontal="center"/>
    </xf>
    <xf numFmtId="0" fontId="11" fillId="0" borderId="1" xfId="0" applyFont="1" applyBorder="1"/>
    <xf numFmtId="0" fontId="19" fillId="0" borderId="0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1" fillId="2" borderId="1" xfId="0" applyFont="1" applyFill="1" applyBorder="1"/>
    <xf numFmtId="14" fontId="15" fillId="4" borderId="1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top"/>
    </xf>
    <xf numFmtId="14" fontId="15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top"/>
    </xf>
    <xf numFmtId="14" fontId="15" fillId="2" borderId="1" xfId="0" applyNumberFormat="1" applyFont="1" applyFill="1" applyBorder="1" applyAlignment="1">
      <alignment horizontal="center" vertical="top"/>
    </xf>
    <xf numFmtId="2" fontId="11" fillId="0" borderId="1" xfId="0" applyNumberFormat="1" applyFont="1" applyBorder="1" applyAlignment="1">
      <alignment horizontal="center"/>
    </xf>
    <xf numFmtId="44" fontId="14" fillId="0" borderId="1" xfId="1" applyFont="1" applyBorder="1" applyAlignment="1">
      <alignment horizontal="center"/>
    </xf>
    <xf numFmtId="44" fontId="14" fillId="0" borderId="1" xfId="1" applyFont="1" applyBorder="1" applyAlignment="1"/>
    <xf numFmtId="42" fontId="14" fillId="0" borderId="1" xfId="1" applyNumberFormat="1" applyFont="1" applyBorder="1" applyAlignment="1">
      <alignment horizontal="center"/>
    </xf>
    <xf numFmtId="42" fontId="4" fillId="0" borderId="1" xfId="1" applyNumberFormat="1" applyFont="1" applyBorder="1" applyAlignment="1">
      <alignment horizontal="center"/>
    </xf>
    <xf numFmtId="42" fontId="4" fillId="0" borderId="1" xfId="1" applyNumberFormat="1" applyFont="1" applyBorder="1" applyAlignment="1"/>
    <xf numFmtId="0" fontId="11" fillId="2" borderId="1" xfId="0" applyFont="1" applyFill="1" applyBorder="1" applyAlignment="1">
      <alignment horizontal="center"/>
    </xf>
    <xf numFmtId="42" fontId="4" fillId="2" borderId="1" xfId="1" applyNumberFormat="1" applyFont="1" applyFill="1" applyBorder="1" applyAlignment="1">
      <alignment horizontal="center"/>
    </xf>
    <xf numFmtId="42" fontId="4" fillId="2" borderId="1" xfId="1" applyNumberFormat="1" applyFont="1" applyFill="1" applyBorder="1" applyAlignment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14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5" fontId="4" fillId="0" borderId="1" xfId="0" applyNumberFormat="1" applyFont="1" applyBorder="1" applyAlignment="1">
      <alignment horizontal="left"/>
    </xf>
    <xf numFmtId="14" fontId="15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center"/>
    </xf>
    <xf numFmtId="44" fontId="19" fillId="0" borderId="1" xfId="1" applyFont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center"/>
    </xf>
    <xf numFmtId="44" fontId="21" fillId="0" borderId="1" xfId="1" applyFont="1" applyBorder="1" applyAlignment="1">
      <alignment horizontal="center"/>
    </xf>
    <xf numFmtId="14" fontId="22" fillId="2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 vertical="top"/>
    </xf>
    <xf numFmtId="0" fontId="23" fillId="5" borderId="1" xfId="0" applyFont="1" applyFill="1" applyBorder="1"/>
    <xf numFmtId="42" fontId="0" fillId="0" borderId="1" xfId="1" applyNumberFormat="1" applyFont="1" applyBorder="1" applyAlignment="1">
      <alignment horizontal="center"/>
    </xf>
    <xf numFmtId="42" fontId="0" fillId="0" borderId="1" xfId="1" applyNumberFormat="1" applyFont="1" applyBorder="1" applyAlignment="1"/>
    <xf numFmtId="0" fontId="16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4" fontId="4" fillId="0" borderId="1" xfId="1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4" fontId="15" fillId="2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30" sqref="D30"/>
    </sheetView>
  </sheetViews>
  <sheetFormatPr defaultRowHeight="15" x14ac:dyDescent="0.25"/>
  <cols>
    <col min="1" max="1" width="4.7109375" customWidth="1"/>
    <col min="2" max="2" width="12.5703125" customWidth="1"/>
    <col min="3" max="3" width="15.7109375" customWidth="1"/>
    <col min="4" max="4" width="25.5703125" customWidth="1"/>
    <col min="5" max="5" width="11.85546875" customWidth="1"/>
    <col min="6" max="6" width="14.140625" customWidth="1"/>
    <col min="7" max="7" width="9.42578125" style="3" customWidth="1"/>
    <col min="8" max="8" width="38.7109375" customWidth="1"/>
    <col min="9" max="9" width="11" customWidth="1"/>
  </cols>
  <sheetData>
    <row r="1" spans="1:10" ht="21" x14ac:dyDescent="0.6">
      <c r="A1" s="65"/>
      <c r="B1" s="65" t="s">
        <v>110</v>
      </c>
      <c r="C1" s="65"/>
      <c r="D1" s="65"/>
      <c r="E1" s="65"/>
      <c r="F1" s="66"/>
      <c r="G1" s="66"/>
      <c r="H1" s="66"/>
      <c r="I1" s="65"/>
    </row>
    <row r="2" spans="1:10" ht="0.75" customHeight="1" x14ac:dyDescent="0.6">
      <c r="A2" s="65"/>
      <c r="B2" s="65"/>
      <c r="C2" s="65"/>
      <c r="D2" s="65"/>
      <c r="E2" s="65"/>
      <c r="F2" s="65"/>
      <c r="G2" s="66"/>
      <c r="H2" s="65"/>
      <c r="I2" s="65"/>
    </row>
    <row r="3" spans="1:10" s="28" customFormat="1" ht="27.75" customHeight="1" x14ac:dyDescent="0.75">
      <c r="A3" s="67" t="s">
        <v>0</v>
      </c>
      <c r="B3" s="68" t="s">
        <v>47</v>
      </c>
      <c r="C3" s="68" t="s">
        <v>3</v>
      </c>
      <c r="D3" s="68" t="s">
        <v>5</v>
      </c>
      <c r="E3" s="68" t="s">
        <v>4</v>
      </c>
      <c r="F3" s="68" t="s">
        <v>593</v>
      </c>
      <c r="G3" s="68" t="s">
        <v>152</v>
      </c>
      <c r="H3" s="68" t="s">
        <v>1</v>
      </c>
      <c r="I3" s="68" t="s">
        <v>2</v>
      </c>
      <c r="J3" s="27"/>
    </row>
    <row r="4" spans="1:10" ht="26.25" customHeight="1" x14ac:dyDescent="0.65">
      <c r="A4" s="4">
        <v>1</v>
      </c>
      <c r="B4" s="10" t="s">
        <v>7</v>
      </c>
      <c r="C4" s="26" t="s">
        <v>19</v>
      </c>
      <c r="D4" s="114" t="s">
        <v>34</v>
      </c>
      <c r="E4" s="20">
        <v>46021</v>
      </c>
      <c r="F4" s="35">
        <v>136</v>
      </c>
      <c r="G4" s="17"/>
      <c r="H4" s="52" t="s">
        <v>686</v>
      </c>
      <c r="I4" s="1"/>
      <c r="J4" s="7"/>
    </row>
    <row r="5" spans="1:10" ht="26.25" customHeight="1" x14ac:dyDescent="0.65">
      <c r="A5" s="4">
        <v>2</v>
      </c>
      <c r="B5" s="10" t="s">
        <v>10</v>
      </c>
      <c r="C5" s="26" t="s">
        <v>30</v>
      </c>
      <c r="D5" s="114" t="s">
        <v>44</v>
      </c>
      <c r="E5" s="10">
        <v>46016</v>
      </c>
      <c r="F5" s="35">
        <v>231</v>
      </c>
      <c r="G5" s="17"/>
      <c r="H5" s="51"/>
      <c r="I5" s="1"/>
      <c r="J5" s="7"/>
    </row>
    <row r="6" spans="1:10" ht="26.25" customHeight="1" x14ac:dyDescent="0.65">
      <c r="A6" s="4">
        <v>3</v>
      </c>
      <c r="B6" s="10" t="s">
        <v>6</v>
      </c>
      <c r="C6" s="69" t="s">
        <v>31</v>
      </c>
      <c r="D6" s="114" t="s">
        <v>45</v>
      </c>
      <c r="E6" s="10">
        <v>45996</v>
      </c>
      <c r="F6" s="35">
        <v>293</v>
      </c>
      <c r="G6" s="17"/>
      <c r="H6" s="51" t="s">
        <v>332</v>
      </c>
      <c r="I6" s="1"/>
      <c r="J6" s="7"/>
    </row>
    <row r="7" spans="1:10" ht="26.25" customHeight="1" x14ac:dyDescent="0.65">
      <c r="A7" s="4">
        <v>4</v>
      </c>
      <c r="B7" s="10" t="s">
        <v>12</v>
      </c>
      <c r="C7" s="26" t="s">
        <v>22</v>
      </c>
      <c r="D7" s="114" t="s">
        <v>36</v>
      </c>
      <c r="E7" s="10">
        <v>46016</v>
      </c>
      <c r="F7" s="35">
        <v>415</v>
      </c>
      <c r="G7" s="17"/>
      <c r="H7" s="51" t="s">
        <v>333</v>
      </c>
      <c r="I7" s="1"/>
      <c r="J7" s="7"/>
    </row>
    <row r="8" spans="1:10" ht="26.25" customHeight="1" x14ac:dyDescent="0.65">
      <c r="A8" s="4">
        <v>5</v>
      </c>
      <c r="B8" s="10" t="s">
        <v>15</v>
      </c>
      <c r="C8" s="26" t="s">
        <v>23</v>
      </c>
      <c r="D8" s="114" t="s">
        <v>38</v>
      </c>
      <c r="E8" s="10">
        <v>46002</v>
      </c>
      <c r="F8" s="35">
        <v>333</v>
      </c>
      <c r="G8" s="17"/>
      <c r="H8" s="51" t="s">
        <v>687</v>
      </c>
      <c r="I8" s="1"/>
      <c r="J8" s="7"/>
    </row>
    <row r="9" spans="1:10" ht="26.25" customHeight="1" x14ac:dyDescent="0.65">
      <c r="A9" s="4">
        <v>6</v>
      </c>
      <c r="B9" s="10" t="s">
        <v>9</v>
      </c>
      <c r="C9" s="26" t="s">
        <v>24</v>
      </c>
      <c r="D9" s="114" t="s">
        <v>37</v>
      </c>
      <c r="E9" s="10">
        <v>46017</v>
      </c>
      <c r="F9" s="35">
        <v>289</v>
      </c>
      <c r="G9" s="17"/>
      <c r="H9" s="51" t="s">
        <v>203</v>
      </c>
      <c r="I9" s="1"/>
      <c r="J9" s="7"/>
    </row>
    <row r="10" spans="1:10" ht="26.25" customHeight="1" x14ac:dyDescent="0.65">
      <c r="A10" s="4">
        <v>7</v>
      </c>
      <c r="B10" s="10" t="s">
        <v>444</v>
      </c>
      <c r="C10" s="26" t="s">
        <v>445</v>
      </c>
      <c r="D10" s="114" t="s">
        <v>446</v>
      </c>
      <c r="E10" s="10">
        <v>46001</v>
      </c>
      <c r="F10" s="35">
        <v>178</v>
      </c>
      <c r="G10" s="148" t="s">
        <v>592</v>
      </c>
      <c r="H10" s="149"/>
      <c r="I10" s="150"/>
      <c r="J10" s="7"/>
    </row>
    <row r="11" spans="1:10" ht="26.25" customHeight="1" x14ac:dyDescent="0.65">
      <c r="A11" s="4">
        <v>8</v>
      </c>
      <c r="B11" s="10" t="s">
        <v>13</v>
      </c>
      <c r="C11" s="26" t="s">
        <v>25</v>
      </c>
      <c r="D11" s="114" t="s">
        <v>39</v>
      </c>
      <c r="E11" s="10">
        <v>46006</v>
      </c>
      <c r="F11" s="35">
        <v>365</v>
      </c>
      <c r="G11" s="17"/>
      <c r="H11" s="52" t="s">
        <v>248</v>
      </c>
      <c r="I11" s="1"/>
      <c r="J11" s="7"/>
    </row>
    <row r="12" spans="1:10" ht="24" customHeight="1" x14ac:dyDescent="0.65">
      <c r="A12" s="4">
        <v>9</v>
      </c>
      <c r="B12" s="20" t="s">
        <v>16</v>
      </c>
      <c r="C12" s="26" t="s">
        <v>26</v>
      </c>
      <c r="D12" s="114" t="s">
        <v>40</v>
      </c>
      <c r="E12" s="10">
        <v>46001</v>
      </c>
      <c r="F12" s="35">
        <v>308</v>
      </c>
      <c r="G12" s="17"/>
      <c r="H12" s="51" t="s">
        <v>371</v>
      </c>
      <c r="I12" s="1"/>
      <c r="J12" s="7"/>
    </row>
    <row r="13" spans="1:10" ht="26.25" customHeight="1" x14ac:dyDescent="0.65">
      <c r="A13" s="4">
        <v>10</v>
      </c>
      <c r="B13" s="10" t="s">
        <v>198</v>
      </c>
      <c r="C13" s="26" t="s">
        <v>199</v>
      </c>
      <c r="D13" s="114" t="s">
        <v>200</v>
      </c>
      <c r="E13" s="10">
        <v>46006</v>
      </c>
      <c r="F13" s="37">
        <v>150</v>
      </c>
      <c r="G13" s="17">
        <v>50</v>
      </c>
      <c r="H13" s="51" t="s">
        <v>214</v>
      </c>
      <c r="I13" s="1"/>
      <c r="J13" s="7"/>
    </row>
    <row r="14" spans="1:10" ht="26.25" customHeight="1" x14ac:dyDescent="0.65">
      <c r="A14" s="4">
        <v>11</v>
      </c>
      <c r="B14" s="20" t="s">
        <v>17</v>
      </c>
      <c r="C14" s="69" t="s">
        <v>27</v>
      </c>
      <c r="D14" s="114" t="s">
        <v>41</v>
      </c>
      <c r="E14" s="20">
        <v>46016</v>
      </c>
      <c r="F14" s="35">
        <v>300</v>
      </c>
      <c r="G14" s="17"/>
      <c r="H14" s="49" t="s">
        <v>204</v>
      </c>
      <c r="I14" s="1"/>
      <c r="J14" s="7"/>
    </row>
    <row r="15" spans="1:10" ht="26.25" customHeight="1" x14ac:dyDescent="0.65">
      <c r="A15" s="4">
        <v>12</v>
      </c>
      <c r="B15" s="20" t="s">
        <v>18</v>
      </c>
      <c r="C15" s="26" t="s">
        <v>28</v>
      </c>
      <c r="D15" s="114" t="s">
        <v>42</v>
      </c>
      <c r="E15" s="10">
        <v>45996</v>
      </c>
      <c r="F15" s="36">
        <v>344</v>
      </c>
      <c r="G15" s="17"/>
      <c r="H15" s="51" t="s">
        <v>205</v>
      </c>
      <c r="I15" s="1"/>
      <c r="J15" s="7"/>
    </row>
    <row r="16" spans="1:10" ht="26.25" customHeight="1" x14ac:dyDescent="0.65">
      <c r="A16" s="4">
        <v>13</v>
      </c>
      <c r="B16" s="10" t="s">
        <v>11</v>
      </c>
      <c r="C16" s="26" t="s">
        <v>29</v>
      </c>
      <c r="D16" s="114" t="s">
        <v>43</v>
      </c>
      <c r="E16" s="10">
        <v>46007</v>
      </c>
      <c r="F16" s="35">
        <v>298</v>
      </c>
      <c r="G16" s="17"/>
      <c r="H16" s="51" t="s">
        <v>206</v>
      </c>
      <c r="I16" s="1"/>
      <c r="J16" s="7"/>
    </row>
    <row r="17" spans="1:10" ht="26.25" customHeight="1" x14ac:dyDescent="0.65">
      <c r="A17" s="4">
        <v>14</v>
      </c>
      <c r="B17" s="10" t="s">
        <v>497</v>
      </c>
      <c r="C17" s="26" t="s">
        <v>32</v>
      </c>
      <c r="D17" s="114" t="s">
        <v>46</v>
      </c>
      <c r="E17" s="10">
        <v>46011</v>
      </c>
      <c r="F17" s="35">
        <v>200</v>
      </c>
      <c r="G17" s="17"/>
      <c r="H17" s="51" t="s">
        <v>562</v>
      </c>
      <c r="I17" s="1"/>
      <c r="J17" s="7"/>
    </row>
    <row r="18" spans="1:10" ht="26.25" customHeight="1" x14ac:dyDescent="0.65">
      <c r="A18" s="4">
        <v>15</v>
      </c>
      <c r="B18" s="10" t="s">
        <v>498</v>
      </c>
      <c r="C18" s="26" t="s">
        <v>177</v>
      </c>
      <c r="D18" s="114" t="s">
        <v>178</v>
      </c>
      <c r="E18" s="10">
        <v>46011</v>
      </c>
      <c r="F18" s="35">
        <v>150</v>
      </c>
      <c r="G18" s="17"/>
      <c r="H18" s="1"/>
      <c r="I18" s="1"/>
      <c r="J18" s="7"/>
    </row>
    <row r="19" spans="1:10" ht="26.25" customHeight="1" x14ac:dyDescent="0.65">
      <c r="A19" s="4">
        <v>16</v>
      </c>
      <c r="B19" s="10" t="s">
        <v>499</v>
      </c>
      <c r="C19" s="26" t="s">
        <v>190</v>
      </c>
      <c r="D19" s="114" t="s">
        <v>191</v>
      </c>
      <c r="E19" s="20">
        <v>45999</v>
      </c>
      <c r="F19" s="35">
        <v>100</v>
      </c>
      <c r="G19" s="17"/>
      <c r="H19" s="51" t="s">
        <v>372</v>
      </c>
      <c r="I19" s="1"/>
      <c r="J19" s="7"/>
    </row>
    <row r="20" spans="1:10" ht="26.25" customHeight="1" x14ac:dyDescent="0.65">
      <c r="A20" s="4">
        <v>17</v>
      </c>
      <c r="B20" s="10" t="s">
        <v>431</v>
      </c>
      <c r="C20" s="26" t="s">
        <v>432</v>
      </c>
      <c r="D20" s="114" t="s">
        <v>433</v>
      </c>
      <c r="E20" s="10">
        <v>46009</v>
      </c>
      <c r="F20" s="37">
        <v>200</v>
      </c>
      <c r="G20" s="17"/>
      <c r="H20" s="51" t="s">
        <v>434</v>
      </c>
      <c r="I20" s="1"/>
      <c r="J20" s="7"/>
    </row>
    <row r="21" spans="1:10" s="121" customFormat="1" ht="26.25" customHeight="1" x14ac:dyDescent="0.65">
      <c r="A21" s="4">
        <v>18</v>
      </c>
      <c r="B21" s="116" t="s">
        <v>437</v>
      </c>
      <c r="C21" s="117" t="s">
        <v>435</v>
      </c>
      <c r="D21" s="114" t="s">
        <v>436</v>
      </c>
      <c r="E21" s="10">
        <v>46016</v>
      </c>
      <c r="F21" s="37">
        <v>100</v>
      </c>
      <c r="G21" s="118"/>
      <c r="H21" s="119" t="s">
        <v>440</v>
      </c>
      <c r="I21" s="115"/>
      <c r="J21" s="120"/>
    </row>
    <row r="22" spans="1:10" s="121" customFormat="1" ht="26.25" customHeight="1" x14ac:dyDescent="0.65">
      <c r="A22" s="4">
        <v>19</v>
      </c>
      <c r="B22" s="116" t="s">
        <v>438</v>
      </c>
      <c r="C22" s="117" t="s">
        <v>435</v>
      </c>
      <c r="D22" s="114" t="s">
        <v>439</v>
      </c>
      <c r="E22" s="10">
        <v>46016</v>
      </c>
      <c r="F22" s="37">
        <v>100</v>
      </c>
      <c r="G22" s="122"/>
      <c r="H22" s="119" t="s">
        <v>440</v>
      </c>
      <c r="I22" s="115"/>
      <c r="J22" s="120"/>
    </row>
    <row r="23" spans="1:10" ht="26.25" customHeight="1" x14ac:dyDescent="0.25">
      <c r="A23" s="6"/>
      <c r="B23" s="61"/>
      <c r="C23" s="9"/>
      <c r="D23" s="18"/>
      <c r="E23" s="18"/>
      <c r="F23" s="64">
        <f>SUM(F4:F22)</f>
        <v>4490</v>
      </c>
      <c r="G23" s="17"/>
      <c r="H23" s="1"/>
      <c r="I23" s="1"/>
    </row>
  </sheetData>
  <mergeCells count="1">
    <mergeCell ref="G10:I10"/>
  </mergeCells>
  <pageMargins left="0.25" right="0.25" top="0.25" bottom="0.25" header="0.3" footer="0.3"/>
  <pageSetup paperSize="9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A24" sqref="A24:XFD28"/>
    </sheetView>
  </sheetViews>
  <sheetFormatPr defaultRowHeight="15" x14ac:dyDescent="0.25"/>
  <cols>
    <col min="1" max="1" width="4.7109375" customWidth="1"/>
    <col min="2" max="2" width="11" customWidth="1"/>
    <col min="3" max="3" width="15.7109375" customWidth="1"/>
    <col min="4" max="4" width="27.140625" customWidth="1"/>
    <col min="5" max="5" width="11.28515625" customWidth="1"/>
    <col min="6" max="6" width="13.5703125" customWidth="1"/>
    <col min="7" max="7" width="7" style="3" customWidth="1"/>
    <col min="8" max="8" width="42.7109375" customWidth="1"/>
    <col min="9" max="9" width="10.5703125" customWidth="1"/>
  </cols>
  <sheetData>
    <row r="1" spans="1:10" ht="18.75" x14ac:dyDescent="0.3">
      <c r="B1" s="44" t="s">
        <v>58</v>
      </c>
      <c r="C1" s="44"/>
      <c r="F1" s="2"/>
      <c r="G1" s="2"/>
      <c r="H1" s="3"/>
    </row>
    <row r="2" spans="1:10" ht="0.75" customHeight="1" x14ac:dyDescent="0.25"/>
    <row r="3" spans="1:10" s="28" customFormat="1" ht="26.2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8" t="s">
        <v>152</v>
      </c>
      <c r="H3" s="68" t="s">
        <v>1</v>
      </c>
      <c r="I3" s="67" t="s">
        <v>2</v>
      </c>
      <c r="J3" s="70"/>
    </row>
    <row r="4" spans="1:10" ht="26.25" customHeight="1" x14ac:dyDescent="0.65">
      <c r="A4" s="4">
        <v>1</v>
      </c>
      <c r="B4" s="20" t="s">
        <v>59</v>
      </c>
      <c r="C4" s="69" t="s">
        <v>60</v>
      </c>
      <c r="D4" s="10" t="s">
        <v>61</v>
      </c>
      <c r="E4" s="10">
        <v>46010</v>
      </c>
      <c r="F4" s="41">
        <v>80</v>
      </c>
      <c r="G4" s="92"/>
      <c r="H4" s="102"/>
      <c r="I4" s="85"/>
      <c r="J4" s="7"/>
    </row>
    <row r="5" spans="1:10" ht="26.25" customHeight="1" x14ac:dyDescent="0.65">
      <c r="A5" s="4">
        <v>2</v>
      </c>
      <c r="B5" s="10" t="s">
        <v>67</v>
      </c>
      <c r="C5" s="26" t="s">
        <v>69</v>
      </c>
      <c r="D5" s="114" t="s">
        <v>68</v>
      </c>
      <c r="E5" s="10">
        <v>46004</v>
      </c>
      <c r="F5" s="40">
        <v>254</v>
      </c>
      <c r="G5" s="103"/>
      <c r="H5" s="39"/>
      <c r="I5" s="85"/>
      <c r="J5" s="7"/>
    </row>
    <row r="6" spans="1:10" ht="26.25" customHeight="1" x14ac:dyDescent="0.65">
      <c r="A6" s="4">
        <v>3</v>
      </c>
      <c r="B6" s="38" t="s">
        <v>62</v>
      </c>
      <c r="C6" s="69" t="s">
        <v>63</v>
      </c>
      <c r="D6" s="124" t="s">
        <v>64</v>
      </c>
      <c r="E6" s="10">
        <v>45986</v>
      </c>
      <c r="F6" s="50">
        <v>200</v>
      </c>
      <c r="G6" s="103"/>
      <c r="H6" s="123" t="s">
        <v>594</v>
      </c>
      <c r="I6" s="85"/>
      <c r="J6" s="7"/>
    </row>
    <row r="7" spans="1:10" ht="26.25" customHeight="1" x14ac:dyDescent="0.65">
      <c r="A7" s="4">
        <v>4</v>
      </c>
      <c r="B7" s="20" t="s">
        <v>65</v>
      </c>
      <c r="C7" s="26" t="s">
        <v>75</v>
      </c>
      <c r="D7" s="10" t="s">
        <v>76</v>
      </c>
      <c r="E7" s="20">
        <v>46006</v>
      </c>
      <c r="F7" s="40">
        <v>199</v>
      </c>
      <c r="G7" s="103"/>
      <c r="H7" s="39" t="s">
        <v>688</v>
      </c>
      <c r="I7" s="85"/>
      <c r="J7" s="7"/>
    </row>
    <row r="8" spans="1:10" ht="26.25" customHeight="1" x14ac:dyDescent="0.65">
      <c r="A8" s="4">
        <v>5</v>
      </c>
      <c r="B8" s="10" t="s">
        <v>66</v>
      </c>
      <c r="C8" s="26" t="s">
        <v>78</v>
      </c>
      <c r="D8" s="10" t="s">
        <v>77</v>
      </c>
      <c r="E8" s="10">
        <v>46006</v>
      </c>
      <c r="F8" s="40">
        <v>395</v>
      </c>
      <c r="G8" s="92"/>
      <c r="H8" s="39" t="s">
        <v>207</v>
      </c>
      <c r="I8" s="85"/>
      <c r="J8" s="7"/>
    </row>
    <row r="9" spans="1:10" ht="26.25" customHeight="1" x14ac:dyDescent="0.65">
      <c r="A9" s="4">
        <v>6</v>
      </c>
      <c r="B9" s="10" t="s">
        <v>74</v>
      </c>
      <c r="C9" s="26" t="s">
        <v>79</v>
      </c>
      <c r="D9" s="10" t="s">
        <v>80</v>
      </c>
      <c r="E9" s="10">
        <v>46003</v>
      </c>
      <c r="F9" s="40">
        <v>250</v>
      </c>
      <c r="G9" s="92"/>
      <c r="H9" s="39" t="s">
        <v>208</v>
      </c>
      <c r="I9" s="85"/>
      <c r="J9" s="7"/>
    </row>
    <row r="10" spans="1:10" ht="26.25" customHeight="1" x14ac:dyDescent="0.65">
      <c r="A10" s="4">
        <v>7</v>
      </c>
      <c r="B10" s="20" t="s">
        <v>70</v>
      </c>
      <c r="C10" s="26" t="s">
        <v>81</v>
      </c>
      <c r="D10" s="10" t="s">
        <v>82</v>
      </c>
      <c r="E10" s="20">
        <v>45996</v>
      </c>
      <c r="F10" s="41">
        <v>260</v>
      </c>
      <c r="G10" s="92"/>
      <c r="H10" s="39" t="s">
        <v>587</v>
      </c>
      <c r="I10" s="85"/>
      <c r="J10" s="7"/>
    </row>
    <row r="11" spans="1:10" ht="26.25" customHeight="1" x14ac:dyDescent="0.65">
      <c r="A11" s="4">
        <v>8</v>
      </c>
      <c r="B11" s="20" t="s">
        <v>86</v>
      </c>
      <c r="C11" s="26" t="s">
        <v>88</v>
      </c>
      <c r="D11" s="10" t="s">
        <v>90</v>
      </c>
      <c r="E11" s="10">
        <v>46006</v>
      </c>
      <c r="F11" s="40">
        <v>423</v>
      </c>
      <c r="G11" s="92"/>
      <c r="H11" s="31" t="s">
        <v>588</v>
      </c>
      <c r="I11" s="85"/>
      <c r="J11" s="7"/>
    </row>
    <row r="12" spans="1:10" ht="26.25" customHeight="1" x14ac:dyDescent="0.65">
      <c r="A12" s="4">
        <v>9</v>
      </c>
      <c r="B12" s="20" t="s">
        <v>85</v>
      </c>
      <c r="C12" s="26" t="s">
        <v>87</v>
      </c>
      <c r="D12" s="10" t="s">
        <v>89</v>
      </c>
      <c r="E12" s="20">
        <v>45996</v>
      </c>
      <c r="F12" s="41">
        <v>315</v>
      </c>
      <c r="G12" s="92"/>
      <c r="H12" s="39" t="s">
        <v>589</v>
      </c>
      <c r="I12" s="85"/>
      <c r="J12" s="7"/>
    </row>
    <row r="13" spans="1:10" ht="26.25" customHeight="1" x14ac:dyDescent="0.65">
      <c r="A13" s="4">
        <v>11</v>
      </c>
      <c r="B13" s="10" t="s">
        <v>441</v>
      </c>
      <c r="C13" s="26" t="s">
        <v>442</v>
      </c>
      <c r="D13" s="10" t="s">
        <v>443</v>
      </c>
      <c r="E13" s="10">
        <v>46006</v>
      </c>
      <c r="F13" s="40">
        <v>100</v>
      </c>
      <c r="G13" s="92"/>
      <c r="H13" s="39" t="s">
        <v>590</v>
      </c>
      <c r="I13" s="85"/>
      <c r="J13" s="7"/>
    </row>
    <row r="14" spans="1:10" ht="26.25" customHeight="1" x14ac:dyDescent="0.65">
      <c r="A14" s="4">
        <v>12</v>
      </c>
      <c r="B14" s="10" t="s">
        <v>564</v>
      </c>
      <c r="C14" s="26" t="s">
        <v>565</v>
      </c>
      <c r="D14" s="10" t="s">
        <v>566</v>
      </c>
      <c r="E14" s="10">
        <v>46001</v>
      </c>
      <c r="F14" s="40">
        <v>100</v>
      </c>
      <c r="G14" s="92"/>
      <c r="H14" s="39" t="s">
        <v>591</v>
      </c>
      <c r="I14" s="85"/>
      <c r="J14" s="7"/>
    </row>
    <row r="15" spans="1:10" ht="26.25" customHeight="1" x14ac:dyDescent="0.65">
      <c r="A15" s="131">
        <v>13</v>
      </c>
      <c r="B15" s="10"/>
      <c r="C15" s="26"/>
      <c r="D15" s="10"/>
      <c r="E15" s="10"/>
      <c r="F15" s="40"/>
      <c r="G15" s="92"/>
      <c r="H15" s="39"/>
      <c r="I15" s="85"/>
      <c r="J15" s="7"/>
    </row>
    <row r="16" spans="1:10" ht="26.25" customHeight="1" x14ac:dyDescent="0.65">
      <c r="A16" s="131">
        <v>14</v>
      </c>
      <c r="B16" s="10"/>
      <c r="C16" s="26"/>
      <c r="D16" s="10"/>
      <c r="E16" s="10"/>
      <c r="F16" s="40"/>
      <c r="G16" s="92"/>
      <c r="H16" s="39"/>
      <c r="I16" s="85"/>
      <c r="J16" s="7"/>
    </row>
    <row r="17" spans="1:10" ht="26.25" customHeight="1" x14ac:dyDescent="0.65">
      <c r="A17" s="131">
        <v>15</v>
      </c>
      <c r="B17" s="10"/>
      <c r="C17" s="26"/>
      <c r="D17" s="10"/>
      <c r="E17" s="10"/>
      <c r="F17" s="40"/>
      <c r="G17" s="92"/>
      <c r="H17" s="39"/>
      <c r="I17" s="85"/>
      <c r="J17" s="7"/>
    </row>
    <row r="18" spans="1:10" ht="26.25" customHeight="1" x14ac:dyDescent="0.65">
      <c r="A18" s="131">
        <v>16</v>
      </c>
      <c r="B18" s="10"/>
      <c r="C18" s="26"/>
      <c r="D18" s="10"/>
      <c r="E18" s="10"/>
      <c r="F18" s="40"/>
      <c r="G18" s="92"/>
      <c r="H18" s="39"/>
      <c r="I18" s="85"/>
      <c r="J18" s="7"/>
    </row>
    <row r="19" spans="1:10" ht="26.25" customHeight="1" x14ac:dyDescent="0.65">
      <c r="A19" s="131">
        <v>17</v>
      </c>
      <c r="B19" s="10"/>
      <c r="C19" s="26"/>
      <c r="D19" s="10"/>
      <c r="E19" s="10"/>
      <c r="F19" s="40"/>
      <c r="G19" s="92"/>
      <c r="H19" s="39"/>
      <c r="I19" s="85"/>
      <c r="J19" s="7"/>
    </row>
    <row r="20" spans="1:10" ht="26.25" customHeight="1" x14ac:dyDescent="0.65">
      <c r="A20" s="131">
        <v>18</v>
      </c>
      <c r="B20" s="10"/>
      <c r="C20" s="26"/>
      <c r="D20" s="10"/>
      <c r="E20" s="10"/>
      <c r="F20" s="40"/>
      <c r="G20" s="92"/>
      <c r="H20" s="39"/>
      <c r="I20" s="85"/>
      <c r="J20" s="7"/>
    </row>
    <row r="21" spans="1:10" ht="26.25" customHeight="1" x14ac:dyDescent="0.65">
      <c r="A21" s="131">
        <v>19</v>
      </c>
      <c r="B21" s="10"/>
      <c r="C21" s="26"/>
      <c r="D21" s="10"/>
      <c r="E21" s="10"/>
      <c r="F21" s="40"/>
      <c r="G21" s="92"/>
      <c r="H21" s="39"/>
      <c r="I21" s="85"/>
      <c r="J21" s="7"/>
    </row>
    <row r="22" spans="1:10" ht="26.25" customHeight="1" x14ac:dyDescent="0.65">
      <c r="A22" s="131">
        <v>20</v>
      </c>
      <c r="B22" s="10"/>
      <c r="C22" s="26"/>
      <c r="D22" s="10"/>
      <c r="E22" s="17"/>
      <c r="F22" s="40"/>
      <c r="G22" s="92"/>
      <c r="H22" s="39"/>
      <c r="I22" s="85"/>
      <c r="J22" s="7"/>
    </row>
    <row r="23" spans="1:10" ht="26.25" customHeight="1" x14ac:dyDescent="0.65">
      <c r="A23" s="154"/>
      <c r="B23" s="155"/>
      <c r="C23" s="156"/>
      <c r="D23" s="10"/>
      <c r="E23" s="17"/>
      <c r="F23" s="40">
        <f>SUM(F4:F22)</f>
        <v>2576</v>
      </c>
      <c r="G23" s="92"/>
      <c r="H23" s="39"/>
      <c r="I23" s="85"/>
      <c r="J23" s="7"/>
    </row>
    <row r="24" spans="1:10" s="153" customFormat="1" ht="26.25" customHeight="1" x14ac:dyDescent="0.25">
      <c r="A24" s="151">
        <v>16</v>
      </c>
      <c r="B24" s="152"/>
      <c r="C24" s="152"/>
      <c r="D24" s="152"/>
      <c r="E24" s="152"/>
      <c r="F24" s="152"/>
      <c r="G24" s="152"/>
      <c r="H24" s="152"/>
      <c r="I24" s="152"/>
      <c r="J24" s="152"/>
    </row>
    <row r="25" spans="1:10" s="153" customFormat="1" ht="26.25" customHeight="1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</row>
    <row r="26" spans="1:10" s="153" customFormat="1" ht="26.25" customHeight="1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</row>
    <row r="27" spans="1:10" s="153" customFormat="1" ht="26.25" customHeight="1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</row>
    <row r="28" spans="1:10" s="153" customFormat="1" ht="26.25" customHeight="1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</row>
  </sheetData>
  <mergeCells count="2">
    <mergeCell ref="A24:XFD28"/>
    <mergeCell ref="A23:C23"/>
  </mergeCells>
  <pageMargins left="0.25" right="0.25" top="0.25" bottom="0.25" header="0.3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B22" sqref="B22"/>
    </sheetView>
  </sheetViews>
  <sheetFormatPr defaultRowHeight="15" x14ac:dyDescent="0.25"/>
  <cols>
    <col min="1" max="1" width="4.7109375" customWidth="1"/>
    <col min="2" max="2" width="12.5703125" customWidth="1"/>
    <col min="3" max="3" width="14.28515625" customWidth="1"/>
    <col min="4" max="4" width="23.7109375" customWidth="1"/>
    <col min="5" max="5" width="11" customWidth="1"/>
    <col min="6" max="6" width="12.42578125" style="53" customWidth="1"/>
    <col min="7" max="7" width="6.7109375" style="8" customWidth="1"/>
    <col min="8" max="8" width="48.5703125" customWidth="1"/>
    <col min="9" max="9" width="11.140625" customWidth="1"/>
  </cols>
  <sheetData>
    <row r="1" spans="1:10" ht="24.75" x14ac:dyDescent="0.75">
      <c r="A1" s="71"/>
      <c r="B1" s="71" t="s">
        <v>162</v>
      </c>
      <c r="C1" s="71"/>
      <c r="D1" s="71"/>
      <c r="E1" s="71"/>
      <c r="F1" s="72"/>
      <c r="G1" s="73"/>
      <c r="H1" s="74"/>
      <c r="I1" s="71"/>
      <c r="J1" s="71"/>
    </row>
    <row r="2" spans="1:10" ht="0.75" customHeight="1" x14ac:dyDescent="0.75">
      <c r="A2" s="71"/>
      <c r="B2" s="71"/>
      <c r="C2" s="71"/>
      <c r="D2" s="71"/>
      <c r="E2" s="71"/>
      <c r="F2" s="75"/>
      <c r="G2" s="73"/>
      <c r="H2" s="71"/>
      <c r="I2" s="71"/>
      <c r="J2" s="71"/>
    </row>
    <row r="3" spans="1:10" s="28" customFormat="1" ht="27.75" customHeight="1" x14ac:dyDescent="0.75">
      <c r="A3" s="76" t="s">
        <v>0</v>
      </c>
      <c r="B3" s="77" t="s">
        <v>48</v>
      </c>
      <c r="C3" s="77" t="s">
        <v>3</v>
      </c>
      <c r="D3" s="77" t="s">
        <v>5</v>
      </c>
      <c r="E3" s="77" t="s">
        <v>4</v>
      </c>
      <c r="F3" s="133" t="s">
        <v>593</v>
      </c>
      <c r="G3" s="76" t="s">
        <v>152</v>
      </c>
      <c r="H3" s="77" t="s">
        <v>1</v>
      </c>
      <c r="I3" s="77" t="s">
        <v>2</v>
      </c>
      <c r="J3" s="78"/>
    </row>
    <row r="4" spans="1:10" ht="26.25" customHeight="1" x14ac:dyDescent="0.65">
      <c r="A4" s="4">
        <v>1</v>
      </c>
      <c r="B4" s="10" t="s">
        <v>49</v>
      </c>
      <c r="C4" s="26" t="s">
        <v>56</v>
      </c>
      <c r="D4" s="10" t="s">
        <v>57</v>
      </c>
      <c r="E4" s="10">
        <v>46008</v>
      </c>
      <c r="F4" s="40">
        <v>284</v>
      </c>
      <c r="G4" s="17"/>
      <c r="H4" s="39" t="s">
        <v>689</v>
      </c>
      <c r="I4" s="85"/>
      <c r="J4" s="7"/>
    </row>
    <row r="5" spans="1:10" ht="26.25" customHeight="1" x14ac:dyDescent="0.65">
      <c r="A5" s="4">
        <v>2</v>
      </c>
      <c r="B5" s="10" t="s">
        <v>50</v>
      </c>
      <c r="C5" s="26" t="s">
        <v>54</v>
      </c>
      <c r="D5" s="10" t="s">
        <v>52</v>
      </c>
      <c r="E5" s="10">
        <v>46006</v>
      </c>
      <c r="F5" s="40">
        <v>246</v>
      </c>
      <c r="G5" s="62"/>
      <c r="H5" s="39" t="s">
        <v>210</v>
      </c>
      <c r="I5" s="85"/>
      <c r="J5" s="7"/>
    </row>
    <row r="6" spans="1:10" ht="26.25" customHeight="1" x14ac:dyDescent="0.65">
      <c r="A6" s="4">
        <v>3</v>
      </c>
      <c r="B6" s="20" t="s">
        <v>51</v>
      </c>
      <c r="C6" s="26" t="s">
        <v>53</v>
      </c>
      <c r="D6" s="10" t="s">
        <v>55</v>
      </c>
      <c r="E6" s="10">
        <v>46021</v>
      </c>
      <c r="F6" s="40">
        <v>246</v>
      </c>
      <c r="G6" s="62"/>
      <c r="H6" s="39" t="s">
        <v>209</v>
      </c>
      <c r="I6" s="85"/>
      <c r="J6" s="7"/>
    </row>
    <row r="7" spans="1:10" ht="26.25" customHeight="1" x14ac:dyDescent="0.65">
      <c r="A7" s="4">
        <v>4</v>
      </c>
      <c r="B7" s="20" t="s">
        <v>129</v>
      </c>
      <c r="C7" s="26" t="s">
        <v>130</v>
      </c>
      <c r="D7" s="10" t="s">
        <v>131</v>
      </c>
      <c r="E7" s="20">
        <v>45996</v>
      </c>
      <c r="F7" s="41">
        <v>100</v>
      </c>
      <c r="G7" s="62"/>
      <c r="H7" s="93"/>
      <c r="I7" s="85"/>
      <c r="J7" s="7"/>
    </row>
    <row r="8" spans="1:10" ht="26.25" customHeight="1" x14ac:dyDescent="0.65">
      <c r="A8" s="4">
        <v>5</v>
      </c>
      <c r="B8" s="10" t="s">
        <v>71</v>
      </c>
      <c r="C8" s="26" t="s">
        <v>73</v>
      </c>
      <c r="D8" s="10" t="s">
        <v>72</v>
      </c>
      <c r="E8" s="10">
        <v>46006</v>
      </c>
      <c r="F8" s="40">
        <v>346</v>
      </c>
      <c r="G8" s="62"/>
      <c r="H8" s="94" t="s">
        <v>303</v>
      </c>
      <c r="I8" s="85"/>
      <c r="J8" s="7"/>
    </row>
    <row r="9" spans="1:10" ht="26.25" customHeight="1" x14ac:dyDescent="0.65">
      <c r="A9" s="4">
        <v>6</v>
      </c>
      <c r="B9" s="30" t="s">
        <v>249</v>
      </c>
      <c r="C9" s="26" t="s">
        <v>83</v>
      </c>
      <c r="D9" s="10" t="s">
        <v>84</v>
      </c>
      <c r="E9" s="20">
        <v>46014</v>
      </c>
      <c r="F9" s="40">
        <v>246</v>
      </c>
      <c r="G9" s="17"/>
      <c r="H9" s="125" t="s">
        <v>392</v>
      </c>
      <c r="I9" s="85"/>
      <c r="J9" s="7"/>
    </row>
    <row r="10" spans="1:10" ht="26.25" customHeight="1" x14ac:dyDescent="0.65">
      <c r="A10" s="4">
        <v>7</v>
      </c>
      <c r="B10" s="10" t="s">
        <v>8</v>
      </c>
      <c r="C10" s="26" t="s">
        <v>20</v>
      </c>
      <c r="D10" s="10" t="s">
        <v>33</v>
      </c>
      <c r="E10" s="10">
        <v>45999</v>
      </c>
      <c r="F10" s="40">
        <v>100</v>
      </c>
      <c r="G10" s="17"/>
      <c r="H10" s="100"/>
      <c r="I10" s="85"/>
      <c r="J10" s="7"/>
    </row>
    <row r="11" spans="1:10" ht="26.25" customHeight="1" x14ac:dyDescent="0.65">
      <c r="A11" s="4">
        <v>8</v>
      </c>
      <c r="B11" s="20" t="s">
        <v>102</v>
      </c>
      <c r="C11" s="26" t="s">
        <v>103</v>
      </c>
      <c r="D11" s="10" t="s">
        <v>104</v>
      </c>
      <c r="E11" s="20">
        <v>46016</v>
      </c>
      <c r="F11" s="40">
        <v>150</v>
      </c>
      <c r="G11" s="17"/>
      <c r="H11" s="126" t="s">
        <v>585</v>
      </c>
      <c r="I11" s="85"/>
      <c r="J11" s="7"/>
    </row>
    <row r="12" spans="1:10" ht="26.25" customHeight="1" x14ac:dyDescent="0.65">
      <c r="A12" s="4">
        <v>9</v>
      </c>
      <c r="B12" s="20" t="s">
        <v>274</v>
      </c>
      <c r="C12" s="26" t="s">
        <v>275</v>
      </c>
      <c r="D12" s="10" t="s">
        <v>304</v>
      </c>
      <c r="E12" s="20">
        <v>46017</v>
      </c>
      <c r="F12" s="41">
        <v>100</v>
      </c>
      <c r="G12" s="56"/>
      <c r="H12" s="101" t="s">
        <v>321</v>
      </c>
      <c r="I12" s="85"/>
      <c r="J12" s="7"/>
    </row>
    <row r="13" spans="1:10" ht="26.25" customHeight="1" x14ac:dyDescent="0.65">
      <c r="A13" s="4">
        <v>10</v>
      </c>
      <c r="B13" s="20" t="s">
        <v>401</v>
      </c>
      <c r="C13" s="26" t="s">
        <v>402</v>
      </c>
      <c r="D13" s="10" t="s">
        <v>403</v>
      </c>
      <c r="E13" s="20">
        <v>46001</v>
      </c>
      <c r="F13" s="41">
        <v>200</v>
      </c>
      <c r="G13" s="127"/>
      <c r="H13" s="134" t="s">
        <v>404</v>
      </c>
      <c r="I13" s="128"/>
      <c r="J13" s="7"/>
    </row>
    <row r="14" spans="1:10" ht="26.25" customHeight="1" x14ac:dyDescent="0.65">
      <c r="A14" s="4">
        <v>11</v>
      </c>
      <c r="B14" s="30" t="s">
        <v>139</v>
      </c>
      <c r="C14" s="26" t="s">
        <v>123</v>
      </c>
      <c r="D14" s="10" t="s">
        <v>250</v>
      </c>
      <c r="E14" s="10">
        <v>46006</v>
      </c>
      <c r="F14" s="40">
        <v>100</v>
      </c>
      <c r="G14" s="17"/>
      <c r="H14" s="129" t="s">
        <v>305</v>
      </c>
      <c r="I14" s="85"/>
      <c r="J14" s="7"/>
    </row>
    <row r="15" spans="1:10" ht="26.25" customHeight="1" x14ac:dyDescent="0.65">
      <c r="A15" s="4">
        <v>12</v>
      </c>
      <c r="B15" s="38" t="s">
        <v>124</v>
      </c>
      <c r="C15" s="26" t="s">
        <v>125</v>
      </c>
      <c r="D15" s="10" t="s">
        <v>126</v>
      </c>
      <c r="E15" s="10">
        <v>45931</v>
      </c>
      <c r="F15" s="41">
        <v>100</v>
      </c>
      <c r="G15" s="132"/>
      <c r="H15" s="94" t="s">
        <v>691</v>
      </c>
      <c r="I15" s="52"/>
      <c r="J15" s="7"/>
    </row>
    <row r="16" spans="1:10" ht="26.25" customHeight="1" x14ac:dyDescent="0.65">
      <c r="A16" s="4">
        <v>13</v>
      </c>
      <c r="B16" s="38" t="s">
        <v>373</v>
      </c>
      <c r="C16" s="26" t="s">
        <v>127</v>
      </c>
      <c r="D16" s="10" t="s">
        <v>128</v>
      </c>
      <c r="E16" s="20">
        <v>45945</v>
      </c>
      <c r="F16" s="40">
        <v>100</v>
      </c>
      <c r="G16" s="17" t="s">
        <v>374</v>
      </c>
      <c r="H16" s="90" t="s">
        <v>690</v>
      </c>
      <c r="I16" s="85"/>
      <c r="J16" s="7"/>
    </row>
    <row r="17" spans="1:10" ht="26.25" customHeight="1" x14ac:dyDescent="0.65">
      <c r="A17" s="4">
        <v>14</v>
      </c>
      <c r="B17" s="20" t="s">
        <v>133</v>
      </c>
      <c r="C17" s="69" t="s">
        <v>140</v>
      </c>
      <c r="D17" s="20" t="s">
        <v>141</v>
      </c>
      <c r="E17" s="20">
        <v>46006</v>
      </c>
      <c r="F17" s="41">
        <v>300</v>
      </c>
      <c r="G17" s="17"/>
      <c r="H17" s="39" t="s">
        <v>595</v>
      </c>
      <c r="I17" s="51"/>
      <c r="J17" s="7"/>
    </row>
    <row r="18" spans="1:10" ht="26.25" customHeight="1" x14ac:dyDescent="0.65">
      <c r="A18" s="4">
        <v>15</v>
      </c>
      <c r="B18" s="10" t="s">
        <v>142</v>
      </c>
      <c r="C18" s="26" t="s">
        <v>143</v>
      </c>
      <c r="D18" s="10" t="s">
        <v>144</v>
      </c>
      <c r="E18" s="10">
        <v>45639</v>
      </c>
      <c r="F18" s="40"/>
      <c r="G18" s="17"/>
      <c r="H18" s="93" t="s">
        <v>586</v>
      </c>
      <c r="I18" s="85"/>
      <c r="J18" s="7"/>
    </row>
    <row r="19" spans="1:10" ht="26.25" customHeight="1" x14ac:dyDescent="0.65">
      <c r="A19" s="4">
        <v>16</v>
      </c>
      <c r="B19" s="38" t="s">
        <v>111</v>
      </c>
      <c r="C19" s="26" t="s">
        <v>175</v>
      </c>
      <c r="D19" s="10" t="s">
        <v>176</v>
      </c>
      <c r="E19" s="30">
        <v>45925</v>
      </c>
      <c r="F19" s="40">
        <v>150</v>
      </c>
      <c r="G19" s="40"/>
      <c r="H19" s="94" t="s">
        <v>692</v>
      </c>
      <c r="I19" s="85"/>
      <c r="J19" s="7"/>
    </row>
    <row r="20" spans="1:10" ht="26.25" customHeight="1" x14ac:dyDescent="0.65">
      <c r="A20" s="4">
        <v>17</v>
      </c>
      <c r="B20" s="38" t="s">
        <v>163</v>
      </c>
      <c r="C20" s="26" t="s">
        <v>164</v>
      </c>
      <c r="D20" s="10" t="s">
        <v>165</v>
      </c>
      <c r="E20" s="10">
        <v>45981</v>
      </c>
      <c r="F20" s="40">
        <v>100</v>
      </c>
      <c r="G20" s="40"/>
      <c r="H20" s="39" t="s">
        <v>693</v>
      </c>
      <c r="I20" s="85"/>
      <c r="J20" s="7"/>
    </row>
    <row r="21" spans="1:10" ht="26.25" customHeight="1" x14ac:dyDescent="0.65">
      <c r="A21" s="4">
        <v>18</v>
      </c>
      <c r="B21" s="20" t="s">
        <v>166</v>
      </c>
      <c r="C21" s="26" t="s">
        <v>167</v>
      </c>
      <c r="D21" s="10" t="s">
        <v>168</v>
      </c>
      <c r="E21" s="20">
        <v>46001</v>
      </c>
      <c r="F21" s="41">
        <v>100</v>
      </c>
      <c r="G21" s="17"/>
      <c r="H21" s="31" t="s">
        <v>174</v>
      </c>
      <c r="I21" s="85"/>
      <c r="J21" s="7"/>
    </row>
    <row r="22" spans="1:10" ht="26.25" customHeight="1" x14ac:dyDescent="0.65">
      <c r="A22" s="4">
        <v>19</v>
      </c>
      <c r="B22" s="10" t="s">
        <v>186</v>
      </c>
      <c r="C22" s="26" t="s">
        <v>169</v>
      </c>
      <c r="D22" s="10" t="s">
        <v>170</v>
      </c>
      <c r="E22" s="10">
        <v>46016</v>
      </c>
      <c r="F22" s="40">
        <v>100</v>
      </c>
      <c r="G22" s="17"/>
      <c r="H22" s="93"/>
      <c r="I22" s="85"/>
      <c r="J22" s="7"/>
    </row>
    <row r="23" spans="1:10" ht="26.25" customHeight="1" x14ac:dyDescent="0.65">
      <c r="A23" s="6"/>
      <c r="B23" s="61"/>
      <c r="C23" s="9"/>
      <c r="D23" s="18"/>
      <c r="E23" s="18"/>
      <c r="F23" s="47">
        <f>SUM(F4:F22)</f>
        <v>3068</v>
      </c>
      <c r="G23" s="63"/>
      <c r="H23" s="85"/>
      <c r="I23" s="85"/>
    </row>
    <row r="24" spans="1:10" x14ac:dyDescent="0.25">
      <c r="E24" s="19"/>
      <c r="F24" s="54"/>
    </row>
    <row r="25" spans="1:10" x14ac:dyDescent="0.25">
      <c r="E25" s="19"/>
      <c r="F25" s="54"/>
    </row>
  </sheetData>
  <pageMargins left="0.25" right="0" top="0" bottom="0" header="0.3" footer="0.3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activeCell="H15" sqref="H15"/>
    </sheetView>
  </sheetViews>
  <sheetFormatPr defaultRowHeight="15" x14ac:dyDescent="0.25"/>
  <cols>
    <col min="1" max="1" width="4.7109375" customWidth="1"/>
    <col min="2" max="2" width="12.42578125" customWidth="1"/>
    <col min="3" max="3" width="13.7109375" customWidth="1"/>
    <col min="4" max="4" width="24.28515625" customWidth="1"/>
    <col min="5" max="5" width="11.28515625" customWidth="1"/>
    <col min="6" max="6" width="12.5703125" customWidth="1"/>
    <col min="7" max="7" width="7.42578125" style="8" customWidth="1"/>
    <col min="8" max="8" width="48.28515625" customWidth="1"/>
    <col min="9" max="9" width="10.28515625" customWidth="1"/>
    <col min="10" max="10" width="0.140625" hidden="1" customWidth="1"/>
  </cols>
  <sheetData>
    <row r="1" spans="1:11" ht="23.25" customHeight="1" x14ac:dyDescent="0.6">
      <c r="A1" s="65"/>
      <c r="B1" s="65" t="s">
        <v>162</v>
      </c>
      <c r="C1" s="65"/>
      <c r="D1" s="65"/>
      <c r="E1" s="65"/>
      <c r="F1" s="66"/>
      <c r="G1" s="79"/>
      <c r="H1" s="66"/>
      <c r="I1" s="65"/>
    </row>
    <row r="2" spans="1:11" ht="0.75" customHeight="1" x14ac:dyDescent="0.6">
      <c r="A2" s="65"/>
      <c r="B2" s="65"/>
      <c r="C2" s="65"/>
      <c r="D2" s="65"/>
      <c r="E2" s="65"/>
      <c r="F2" s="65"/>
      <c r="G2" s="79"/>
      <c r="H2" s="65"/>
      <c r="I2" s="65"/>
    </row>
    <row r="3" spans="1:11" s="28" customFormat="1" ht="27.75" customHeight="1" x14ac:dyDescent="0.8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7" t="s">
        <v>152</v>
      </c>
      <c r="H3" s="68" t="s">
        <v>1</v>
      </c>
      <c r="I3" s="68" t="s">
        <v>2</v>
      </c>
      <c r="J3" s="29"/>
      <c r="K3" s="27"/>
    </row>
    <row r="4" spans="1:11" ht="26.25" customHeight="1" x14ac:dyDescent="0.65">
      <c r="A4" s="17">
        <v>20</v>
      </c>
      <c r="B4" s="38" t="s">
        <v>192</v>
      </c>
      <c r="C4" s="26" t="s">
        <v>193</v>
      </c>
      <c r="D4" s="10" t="s">
        <v>194</v>
      </c>
      <c r="E4" s="20">
        <v>45952</v>
      </c>
      <c r="F4" s="41">
        <v>200</v>
      </c>
      <c r="G4" s="104">
        <v>200</v>
      </c>
      <c r="H4" s="39" t="s">
        <v>764</v>
      </c>
      <c r="I4" s="85"/>
      <c r="J4" s="1"/>
      <c r="K4" s="7"/>
    </row>
    <row r="5" spans="1:11" ht="26.25" customHeight="1" x14ac:dyDescent="0.65">
      <c r="A5" s="17">
        <v>21</v>
      </c>
      <c r="B5" s="30" t="s">
        <v>766</v>
      </c>
      <c r="C5" s="69" t="s">
        <v>352</v>
      </c>
      <c r="D5" s="20" t="s">
        <v>353</v>
      </c>
      <c r="E5" s="20">
        <v>46006</v>
      </c>
      <c r="F5" s="41">
        <v>307</v>
      </c>
      <c r="G5" s="135"/>
      <c r="H5" s="136" t="s">
        <v>694</v>
      </c>
      <c r="I5" s="52"/>
      <c r="J5" s="1"/>
      <c r="K5" s="7"/>
    </row>
    <row r="6" spans="1:11" ht="26.25" customHeight="1" x14ac:dyDescent="0.65">
      <c r="A6" s="17">
        <v>22</v>
      </c>
      <c r="B6" s="20" t="s">
        <v>744</v>
      </c>
      <c r="C6" s="69" t="s">
        <v>696</v>
      </c>
      <c r="D6" s="20" t="s">
        <v>697</v>
      </c>
      <c r="E6" s="20">
        <v>46011</v>
      </c>
      <c r="F6" s="41">
        <v>200</v>
      </c>
      <c r="G6" s="104"/>
      <c r="H6" s="39"/>
      <c r="I6" s="85"/>
      <c r="J6" s="1"/>
      <c r="K6" s="7"/>
    </row>
    <row r="7" spans="1:11" ht="26.25" customHeight="1" x14ac:dyDescent="0.65">
      <c r="A7" s="17">
        <v>23</v>
      </c>
      <c r="B7" s="20" t="s">
        <v>405</v>
      </c>
      <c r="C7" s="26" t="s">
        <v>614</v>
      </c>
      <c r="D7" s="10" t="s">
        <v>615</v>
      </c>
      <c r="E7" s="20">
        <v>46003</v>
      </c>
      <c r="F7" s="40">
        <v>100</v>
      </c>
      <c r="G7" s="104"/>
      <c r="H7" s="39"/>
      <c r="I7" s="85"/>
      <c r="J7" s="1"/>
      <c r="K7" s="7"/>
    </row>
    <row r="8" spans="1:11" ht="26.25" customHeight="1" x14ac:dyDescent="0.65">
      <c r="A8" s="17">
        <v>24</v>
      </c>
      <c r="B8" s="38" t="s">
        <v>251</v>
      </c>
      <c r="C8" s="26" t="s">
        <v>252</v>
      </c>
      <c r="D8" s="20" t="s">
        <v>253</v>
      </c>
      <c r="E8" s="10">
        <v>45987</v>
      </c>
      <c r="F8" s="40">
        <v>100</v>
      </c>
      <c r="G8" s="104">
        <v>100</v>
      </c>
      <c r="H8" s="39" t="s">
        <v>698</v>
      </c>
      <c r="I8" s="85"/>
      <c r="J8" s="1"/>
      <c r="K8" s="7"/>
    </row>
    <row r="9" spans="1:11" ht="26.25" customHeight="1" x14ac:dyDescent="0.65">
      <c r="A9" s="17">
        <v>25</v>
      </c>
      <c r="B9" s="20" t="s">
        <v>357</v>
      </c>
      <c r="C9" s="26" t="s">
        <v>393</v>
      </c>
      <c r="D9" s="10" t="s">
        <v>394</v>
      </c>
      <c r="E9" s="20">
        <v>46003</v>
      </c>
      <c r="F9" s="40">
        <v>100</v>
      </c>
      <c r="G9" s="104"/>
      <c r="H9" s="39"/>
      <c r="I9" s="85"/>
      <c r="J9" s="1"/>
      <c r="K9" s="7"/>
    </row>
    <row r="10" spans="1:11" ht="26.25" customHeight="1" x14ac:dyDescent="0.65">
      <c r="A10" s="17">
        <v>26</v>
      </c>
      <c r="B10" s="20" t="s">
        <v>349</v>
      </c>
      <c r="C10" s="69" t="s">
        <v>350</v>
      </c>
      <c r="D10" s="56" t="s">
        <v>351</v>
      </c>
      <c r="E10" s="20">
        <v>46004</v>
      </c>
      <c r="F10" s="41">
        <v>200</v>
      </c>
      <c r="G10" s="104"/>
      <c r="H10" s="39" t="s">
        <v>513</v>
      </c>
      <c r="I10" s="85"/>
      <c r="J10" s="1"/>
      <c r="K10" s="7"/>
    </row>
    <row r="11" spans="1:11" ht="26.25" customHeight="1" x14ac:dyDescent="0.65">
      <c r="A11" s="17">
        <v>27</v>
      </c>
      <c r="B11" s="38" t="s">
        <v>407</v>
      </c>
      <c r="C11" s="26" t="s">
        <v>408</v>
      </c>
      <c r="D11" s="10" t="s">
        <v>409</v>
      </c>
      <c r="E11" s="20">
        <v>46009</v>
      </c>
      <c r="F11" s="41">
        <v>200</v>
      </c>
      <c r="G11" s="104">
        <v>100</v>
      </c>
      <c r="H11" s="97" t="s">
        <v>745</v>
      </c>
      <c r="I11" s="85"/>
      <c r="J11" s="1"/>
      <c r="K11" s="7"/>
    </row>
    <row r="12" spans="1:11" ht="26.25" customHeight="1" x14ac:dyDescent="0.65">
      <c r="A12" s="17">
        <v>28</v>
      </c>
      <c r="B12" s="20" t="s">
        <v>230</v>
      </c>
      <c r="C12" s="26" t="s">
        <v>231</v>
      </c>
      <c r="D12" s="10" t="s">
        <v>232</v>
      </c>
      <c r="E12" s="30">
        <v>45799</v>
      </c>
      <c r="F12" s="40"/>
      <c r="G12" s="104"/>
      <c r="H12" s="39" t="s">
        <v>583</v>
      </c>
      <c r="I12" s="85"/>
      <c r="J12" s="1"/>
      <c r="K12" s="7"/>
    </row>
    <row r="13" spans="1:11" ht="26.25" customHeight="1" x14ac:dyDescent="0.65">
      <c r="A13" s="17">
        <v>29</v>
      </c>
      <c r="B13" s="30" t="s">
        <v>258</v>
      </c>
      <c r="C13" s="26" t="s">
        <v>259</v>
      </c>
      <c r="D13" s="10" t="s">
        <v>260</v>
      </c>
      <c r="E13" s="30">
        <v>46016</v>
      </c>
      <c r="F13" s="40">
        <v>100</v>
      </c>
      <c r="G13" s="104"/>
      <c r="H13" s="39"/>
      <c r="I13" s="85"/>
      <c r="J13" s="1"/>
      <c r="K13" s="7"/>
    </row>
    <row r="14" spans="1:11" ht="26.25" customHeight="1" x14ac:dyDescent="0.65">
      <c r="A14" s="17">
        <v>30</v>
      </c>
      <c r="B14" s="30" t="s">
        <v>254</v>
      </c>
      <c r="C14" s="26" t="s">
        <v>255</v>
      </c>
      <c r="D14" s="10" t="s">
        <v>256</v>
      </c>
      <c r="E14" s="30">
        <v>46006</v>
      </c>
      <c r="F14" s="40">
        <v>150</v>
      </c>
      <c r="G14" s="104"/>
      <c r="H14" s="39" t="s">
        <v>257</v>
      </c>
      <c r="I14" s="85"/>
      <c r="J14" s="1"/>
      <c r="K14" s="7"/>
    </row>
    <row r="15" spans="1:11" ht="26.25" customHeight="1" x14ac:dyDescent="0.65">
      <c r="A15" s="17">
        <v>31</v>
      </c>
      <c r="B15" s="20" t="s">
        <v>271</v>
      </c>
      <c r="C15" s="26" t="s">
        <v>272</v>
      </c>
      <c r="D15" s="10" t="s">
        <v>273</v>
      </c>
      <c r="E15" s="20">
        <v>46019</v>
      </c>
      <c r="F15" s="40">
        <v>200</v>
      </c>
      <c r="G15" s="104"/>
      <c r="H15" s="39" t="s">
        <v>596</v>
      </c>
      <c r="I15" s="85"/>
      <c r="J15" s="1"/>
      <c r="K15" s="7"/>
    </row>
    <row r="16" spans="1:11" ht="26.25" customHeight="1" x14ac:dyDescent="0.65">
      <c r="A16" s="17">
        <v>32</v>
      </c>
      <c r="B16" s="38" t="s">
        <v>375</v>
      </c>
      <c r="C16" s="26" t="s">
        <v>335</v>
      </c>
      <c r="D16" s="10" t="s">
        <v>336</v>
      </c>
      <c r="E16" s="10">
        <v>45930</v>
      </c>
      <c r="F16" s="40">
        <v>200</v>
      </c>
      <c r="G16" s="104"/>
      <c r="H16" s="39" t="s">
        <v>597</v>
      </c>
      <c r="I16" s="85"/>
      <c r="J16" s="1"/>
      <c r="K16" s="7"/>
    </row>
    <row r="17" spans="1:11" ht="26.25" customHeight="1" x14ac:dyDescent="0.65">
      <c r="A17" s="17">
        <v>33</v>
      </c>
      <c r="B17" s="38" t="s">
        <v>306</v>
      </c>
      <c r="C17" s="69" t="s">
        <v>307</v>
      </c>
      <c r="D17" s="20" t="s">
        <v>308</v>
      </c>
      <c r="E17" s="20">
        <v>45986</v>
      </c>
      <c r="F17" s="41">
        <v>150</v>
      </c>
      <c r="G17" s="104"/>
      <c r="H17" s="97" t="s">
        <v>746</v>
      </c>
      <c r="I17" s="85"/>
      <c r="J17" s="1"/>
      <c r="K17" s="7"/>
    </row>
    <row r="18" spans="1:11" ht="26.25" customHeight="1" x14ac:dyDescent="0.65">
      <c r="A18" s="17">
        <v>34</v>
      </c>
      <c r="B18" s="10" t="s">
        <v>276</v>
      </c>
      <c r="C18" s="26" t="s">
        <v>277</v>
      </c>
      <c r="D18" s="10" t="s">
        <v>278</v>
      </c>
      <c r="E18" s="10">
        <v>46006</v>
      </c>
      <c r="F18" s="40">
        <v>100</v>
      </c>
      <c r="G18" s="104"/>
      <c r="H18" s="39" t="s">
        <v>584</v>
      </c>
      <c r="I18" s="85"/>
      <c r="J18" s="1"/>
      <c r="K18" s="7"/>
    </row>
    <row r="19" spans="1:11" ht="26.25" customHeight="1" x14ac:dyDescent="0.65">
      <c r="A19" s="17">
        <v>35</v>
      </c>
      <c r="B19" s="10" t="s">
        <v>279</v>
      </c>
      <c r="C19" s="26" t="s">
        <v>280</v>
      </c>
      <c r="D19" s="10" t="s">
        <v>281</v>
      </c>
      <c r="E19" s="10">
        <v>46000</v>
      </c>
      <c r="F19" s="40">
        <v>100</v>
      </c>
      <c r="G19" s="104"/>
      <c r="H19" s="93" t="s">
        <v>309</v>
      </c>
      <c r="I19" s="85"/>
      <c r="J19" s="1"/>
      <c r="K19" s="7"/>
    </row>
    <row r="20" spans="1:11" ht="26.25" customHeight="1" x14ac:dyDescent="0.65">
      <c r="A20" s="17">
        <v>36</v>
      </c>
      <c r="B20" s="38" t="s">
        <v>337</v>
      </c>
      <c r="C20" s="26" t="s">
        <v>282</v>
      </c>
      <c r="D20" s="10" t="s">
        <v>283</v>
      </c>
      <c r="E20" s="10">
        <v>45940</v>
      </c>
      <c r="F20" s="40">
        <v>100</v>
      </c>
      <c r="G20" s="104"/>
      <c r="H20" s="97" t="s">
        <v>699</v>
      </c>
      <c r="I20" s="85"/>
      <c r="J20" s="1"/>
      <c r="K20" s="7"/>
    </row>
    <row r="21" spans="1:11" ht="26.25" customHeight="1" x14ac:dyDescent="0.65">
      <c r="A21" s="17">
        <v>37</v>
      </c>
      <c r="B21" s="38" t="s">
        <v>334</v>
      </c>
      <c r="C21" s="69" t="s">
        <v>358</v>
      </c>
      <c r="D21" s="20" t="s">
        <v>359</v>
      </c>
      <c r="E21" s="20">
        <v>45923</v>
      </c>
      <c r="F21" s="41">
        <v>100</v>
      </c>
      <c r="G21" s="104">
        <v>200</v>
      </c>
      <c r="H21" s="96" t="s">
        <v>747</v>
      </c>
      <c r="I21" s="85"/>
      <c r="J21" s="1"/>
      <c r="K21" s="7"/>
    </row>
    <row r="22" spans="1:11" ht="26.25" hidden="1" customHeight="1" x14ac:dyDescent="0.65">
      <c r="A22" s="17">
        <v>38</v>
      </c>
      <c r="B22" s="10"/>
      <c r="C22" s="26"/>
      <c r="D22" s="10"/>
      <c r="E22" s="17"/>
      <c r="F22" s="40"/>
      <c r="G22" s="104"/>
      <c r="H22" s="93" t="s">
        <v>284</v>
      </c>
      <c r="I22" s="85"/>
      <c r="J22" s="1"/>
      <c r="K22" s="7"/>
    </row>
    <row r="23" spans="1:11" ht="26.25" hidden="1" customHeight="1" x14ac:dyDescent="0.65">
      <c r="A23" s="17">
        <v>39</v>
      </c>
      <c r="B23" s="10"/>
      <c r="C23" s="26"/>
      <c r="D23" s="10"/>
      <c r="E23" s="17"/>
      <c r="F23" s="40"/>
      <c r="G23" s="104"/>
      <c r="H23" s="93" t="s">
        <v>284</v>
      </c>
      <c r="I23" s="85"/>
      <c r="J23" s="1"/>
      <c r="K23" s="7"/>
    </row>
    <row r="24" spans="1:11" ht="26.25" customHeight="1" x14ac:dyDescent="0.65">
      <c r="A24" s="17">
        <v>38</v>
      </c>
      <c r="B24" s="20" t="s">
        <v>700</v>
      </c>
      <c r="C24" s="26" t="s">
        <v>701</v>
      </c>
      <c r="D24" s="10" t="s">
        <v>702</v>
      </c>
      <c r="E24" s="10">
        <v>46003</v>
      </c>
      <c r="F24" s="40">
        <v>100</v>
      </c>
      <c r="G24" s="104"/>
      <c r="H24" s="137" t="s">
        <v>703</v>
      </c>
      <c r="I24" s="85"/>
      <c r="J24" s="1"/>
      <c r="K24" s="7"/>
    </row>
    <row r="25" spans="1:11" ht="23.25" customHeight="1" x14ac:dyDescent="0.65">
      <c r="A25" s="6"/>
      <c r="B25" s="9"/>
      <c r="C25" s="9"/>
      <c r="D25" s="1"/>
      <c r="E25" s="18"/>
      <c r="F25" s="47">
        <f>SUM(F4+F5+F6+F7+F8+F9+F10+F11+F12+F13+F14+F15+F16+F17+F18+F19+F20+F21+F22+F23+F24+H28)</f>
        <v>2707</v>
      </c>
      <c r="G25" s="105"/>
      <c r="H25" s="85"/>
      <c r="I25" s="85"/>
      <c r="J25" s="1"/>
    </row>
    <row r="26" spans="1:11" x14ac:dyDescent="0.25">
      <c r="E26" s="19"/>
      <c r="F26" s="19"/>
    </row>
    <row r="27" spans="1:11" x14ac:dyDescent="0.25">
      <c r="E27" s="19"/>
      <c r="F27" s="19"/>
    </row>
  </sheetData>
  <pageMargins left="0" right="0" top="0.25" bottom="0.25" header="0.3" footer="0.3"/>
  <pageSetup paperSize="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topLeftCell="A10" workbookViewId="0">
      <selection activeCell="C12" sqref="C12"/>
    </sheetView>
  </sheetViews>
  <sheetFormatPr defaultRowHeight="15" x14ac:dyDescent="0.25"/>
  <cols>
    <col min="1" max="1" width="4.7109375" customWidth="1"/>
    <col min="2" max="2" width="14" customWidth="1"/>
    <col min="3" max="3" width="19.42578125" customWidth="1"/>
    <col min="4" max="4" width="25" customWidth="1"/>
    <col min="5" max="5" width="11" customWidth="1"/>
    <col min="6" max="6" width="13.42578125" customWidth="1"/>
    <col min="7" max="7" width="6.5703125" style="8" customWidth="1"/>
    <col min="8" max="8" width="39.28515625" customWidth="1"/>
    <col min="9" max="9" width="11.7109375" customWidth="1"/>
    <col min="10" max="10" width="3" customWidth="1"/>
  </cols>
  <sheetData>
    <row r="1" spans="1:11" ht="23.25" customHeight="1" x14ac:dyDescent="0.6">
      <c r="A1" s="65"/>
      <c r="B1" s="65" t="s">
        <v>162</v>
      </c>
      <c r="C1" s="65"/>
      <c r="D1" s="65"/>
      <c r="E1" s="65"/>
      <c r="F1" s="66"/>
      <c r="G1" s="79"/>
      <c r="H1" s="66"/>
      <c r="I1" s="65"/>
    </row>
    <row r="2" spans="1:11" ht="0.75" customHeight="1" x14ac:dyDescent="0.6">
      <c r="A2" s="65"/>
      <c r="B2" s="65"/>
      <c r="C2" s="65"/>
      <c r="D2" s="65"/>
      <c r="E2" s="65"/>
      <c r="F2" s="65"/>
      <c r="G2" s="79"/>
      <c r="H2" s="65"/>
      <c r="I2" s="65"/>
    </row>
    <row r="3" spans="1:11" s="28" customFormat="1" ht="27.75" customHeight="1" x14ac:dyDescent="0.8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8" t="s">
        <v>152</v>
      </c>
      <c r="H3" s="68" t="s">
        <v>1</v>
      </c>
      <c r="I3" s="68" t="s">
        <v>2</v>
      </c>
      <c r="J3" s="57"/>
      <c r="K3" s="27"/>
    </row>
    <row r="4" spans="1:11" ht="26.25" customHeight="1" x14ac:dyDescent="0.65">
      <c r="A4" s="17">
        <v>39</v>
      </c>
      <c r="B4" s="20" t="s">
        <v>345</v>
      </c>
      <c r="C4" s="69" t="s">
        <v>346</v>
      </c>
      <c r="D4" s="20" t="s">
        <v>347</v>
      </c>
      <c r="E4" s="20">
        <v>46006</v>
      </c>
      <c r="F4" s="41">
        <v>200</v>
      </c>
      <c r="G4" s="42"/>
      <c r="H4" s="31" t="s">
        <v>348</v>
      </c>
      <c r="I4" s="1"/>
      <c r="J4" s="58"/>
      <c r="K4" s="7"/>
    </row>
    <row r="5" spans="1:11" ht="26.25" customHeight="1" x14ac:dyDescent="0.65">
      <c r="A5" s="17">
        <v>40</v>
      </c>
      <c r="B5" s="20" t="s">
        <v>354</v>
      </c>
      <c r="C5" s="69" t="s">
        <v>355</v>
      </c>
      <c r="D5" s="20" t="s">
        <v>356</v>
      </c>
      <c r="E5" s="20">
        <v>46006</v>
      </c>
      <c r="F5" s="41">
        <v>200</v>
      </c>
      <c r="G5" s="42"/>
      <c r="H5" s="99" t="s">
        <v>370</v>
      </c>
      <c r="I5" s="1"/>
      <c r="J5" s="58"/>
      <c r="K5" s="7"/>
    </row>
    <row r="6" spans="1:11" ht="26.25" customHeight="1" x14ac:dyDescent="0.65">
      <c r="A6" s="17">
        <v>41</v>
      </c>
      <c r="B6" s="20" t="s">
        <v>704</v>
      </c>
      <c r="C6" s="69" t="s">
        <v>705</v>
      </c>
      <c r="D6" s="20" t="s">
        <v>706</v>
      </c>
      <c r="E6" s="20">
        <v>45996</v>
      </c>
      <c r="F6" s="41">
        <v>200</v>
      </c>
      <c r="G6" s="42"/>
      <c r="H6" s="99" t="s">
        <v>707</v>
      </c>
      <c r="I6" s="1"/>
      <c r="J6" s="58"/>
      <c r="K6" s="7"/>
    </row>
    <row r="7" spans="1:11" ht="26.25" customHeight="1" x14ac:dyDescent="0.65">
      <c r="A7" s="17">
        <v>42</v>
      </c>
      <c r="B7" s="20" t="s">
        <v>377</v>
      </c>
      <c r="C7" s="69" t="s">
        <v>378</v>
      </c>
      <c r="D7" s="20" t="s">
        <v>379</v>
      </c>
      <c r="E7" s="20">
        <v>46003</v>
      </c>
      <c r="F7" s="41">
        <v>250</v>
      </c>
      <c r="G7" s="42"/>
      <c r="H7" s="99" t="s">
        <v>563</v>
      </c>
      <c r="I7" s="1"/>
      <c r="J7" s="58"/>
      <c r="K7" s="7"/>
    </row>
    <row r="8" spans="1:11" ht="26.25" customHeight="1" x14ac:dyDescent="0.65">
      <c r="A8" s="17">
        <v>43</v>
      </c>
      <c r="B8" s="20" t="s">
        <v>461</v>
      </c>
      <c r="C8" s="69" t="s">
        <v>462</v>
      </c>
      <c r="D8" s="20" t="s">
        <v>463</v>
      </c>
      <c r="E8" s="20">
        <v>46011</v>
      </c>
      <c r="F8" s="41">
        <v>100</v>
      </c>
      <c r="G8" s="42"/>
      <c r="H8" s="39"/>
      <c r="I8" s="1"/>
      <c r="J8" s="58"/>
      <c r="K8" s="7"/>
    </row>
    <row r="9" spans="1:11" ht="26.25" customHeight="1" x14ac:dyDescent="0.65">
      <c r="A9" s="17">
        <v>44</v>
      </c>
      <c r="B9" s="20" t="s">
        <v>460</v>
      </c>
      <c r="C9" s="69" t="s">
        <v>708</v>
      </c>
      <c r="D9" s="20" t="s">
        <v>709</v>
      </c>
      <c r="E9" s="20">
        <v>46001</v>
      </c>
      <c r="F9" s="41">
        <v>100</v>
      </c>
      <c r="G9" s="42"/>
      <c r="H9" s="39"/>
      <c r="I9" s="1"/>
      <c r="J9" s="58"/>
      <c r="K9" s="7"/>
    </row>
    <row r="10" spans="1:11" ht="26.25" customHeight="1" x14ac:dyDescent="0.65">
      <c r="A10" s="17">
        <v>45</v>
      </c>
      <c r="B10" s="20" t="s">
        <v>601</v>
      </c>
      <c r="C10" s="69" t="s">
        <v>602</v>
      </c>
      <c r="D10" s="20" t="s">
        <v>603</v>
      </c>
      <c r="E10" s="20">
        <v>46003</v>
      </c>
      <c r="F10" s="41">
        <v>100</v>
      </c>
      <c r="G10" s="42"/>
      <c r="H10" s="157" t="s">
        <v>604</v>
      </c>
      <c r="I10" s="1"/>
      <c r="J10" s="58"/>
      <c r="K10" s="7"/>
    </row>
    <row r="11" spans="1:11" ht="26.25" customHeight="1" x14ac:dyDescent="0.65">
      <c r="A11" s="17">
        <v>46</v>
      </c>
      <c r="B11" s="20" t="s">
        <v>406</v>
      </c>
      <c r="C11" s="69" t="s">
        <v>525</v>
      </c>
      <c r="D11" s="20" t="s">
        <v>529</v>
      </c>
      <c r="E11" s="20">
        <v>46003</v>
      </c>
      <c r="F11" s="41">
        <v>100</v>
      </c>
      <c r="G11" s="42"/>
      <c r="H11" s="99" t="s">
        <v>530</v>
      </c>
      <c r="I11" s="1"/>
      <c r="J11" s="58"/>
      <c r="K11" s="7"/>
    </row>
    <row r="12" spans="1:11" ht="26.25" customHeight="1" x14ac:dyDescent="0.65">
      <c r="A12" s="17">
        <v>47</v>
      </c>
      <c r="B12" s="20" t="s">
        <v>449</v>
      </c>
      <c r="C12" s="26" t="s">
        <v>450</v>
      </c>
      <c r="D12" s="10" t="s">
        <v>451</v>
      </c>
      <c r="E12" s="30">
        <v>45994</v>
      </c>
      <c r="F12" s="40">
        <v>100</v>
      </c>
      <c r="G12" s="42"/>
      <c r="H12" s="39" t="s">
        <v>710</v>
      </c>
      <c r="I12" s="1"/>
      <c r="J12" s="58"/>
      <c r="K12" s="7"/>
    </row>
    <row r="13" spans="1:11" ht="26.25" customHeight="1" x14ac:dyDescent="0.65">
      <c r="A13" s="17">
        <v>48</v>
      </c>
      <c r="B13" s="20" t="s">
        <v>599</v>
      </c>
      <c r="C13" s="26" t="s">
        <v>453</v>
      </c>
      <c r="D13" s="10" t="s">
        <v>454</v>
      </c>
      <c r="E13" s="20">
        <v>46001</v>
      </c>
      <c r="F13" s="41">
        <v>300</v>
      </c>
      <c r="G13" s="42"/>
      <c r="H13" s="39"/>
      <c r="I13" s="1"/>
      <c r="J13" s="58"/>
      <c r="K13" s="7"/>
    </row>
    <row r="14" spans="1:11" ht="26.25" customHeight="1" x14ac:dyDescent="0.65">
      <c r="A14" s="17">
        <v>49</v>
      </c>
      <c r="B14" s="20" t="s">
        <v>265</v>
      </c>
      <c r="C14" s="26" t="s">
        <v>453</v>
      </c>
      <c r="D14" s="10" t="s">
        <v>454</v>
      </c>
      <c r="E14" s="30">
        <v>46011</v>
      </c>
      <c r="F14" s="40">
        <v>300</v>
      </c>
      <c r="G14" s="42"/>
      <c r="H14" s="125" t="s">
        <v>513</v>
      </c>
      <c r="I14" s="1"/>
      <c r="J14" s="58"/>
      <c r="K14" s="7"/>
    </row>
    <row r="15" spans="1:11" ht="26.25" customHeight="1" x14ac:dyDescent="0.65">
      <c r="A15" s="17">
        <v>50</v>
      </c>
      <c r="B15" s="38" t="s">
        <v>711</v>
      </c>
      <c r="C15" s="26" t="s">
        <v>712</v>
      </c>
      <c r="D15" s="10" t="s">
        <v>713</v>
      </c>
      <c r="E15" s="20">
        <v>45987</v>
      </c>
      <c r="F15" s="50">
        <v>90</v>
      </c>
      <c r="G15" s="42"/>
      <c r="H15" s="39"/>
      <c r="I15" s="1"/>
      <c r="J15" s="58"/>
      <c r="K15" s="7"/>
    </row>
    <row r="16" spans="1:11" ht="26.25" customHeight="1" x14ac:dyDescent="0.65">
      <c r="A16" s="17">
        <v>51</v>
      </c>
      <c r="B16" s="20" t="s">
        <v>456</v>
      </c>
      <c r="C16" s="26" t="s">
        <v>457</v>
      </c>
      <c r="D16" s="10" t="s">
        <v>458</v>
      </c>
      <c r="E16" s="10">
        <v>46015</v>
      </c>
      <c r="F16" s="40">
        <v>100</v>
      </c>
      <c r="G16" s="42"/>
      <c r="H16" s="39" t="s">
        <v>459</v>
      </c>
      <c r="I16" s="1"/>
      <c r="J16" s="58"/>
      <c r="K16" s="7"/>
    </row>
    <row r="17" spans="1:11" ht="26.25" customHeight="1" x14ac:dyDescent="0.65">
      <c r="A17" s="17">
        <v>52</v>
      </c>
      <c r="B17" s="20" t="s">
        <v>395</v>
      </c>
      <c r="C17" s="69" t="s">
        <v>396</v>
      </c>
      <c r="D17" s="20" t="s">
        <v>397</v>
      </c>
      <c r="E17" s="20">
        <v>46006</v>
      </c>
      <c r="F17" s="41">
        <v>200</v>
      </c>
      <c r="G17" s="42"/>
      <c r="H17" s="99" t="s">
        <v>579</v>
      </c>
      <c r="I17" s="1"/>
      <c r="J17" s="58"/>
      <c r="K17" s="7"/>
    </row>
    <row r="18" spans="1:11" ht="26.25" customHeight="1" x14ac:dyDescent="0.65">
      <c r="A18" s="17">
        <v>53</v>
      </c>
      <c r="B18" s="20" t="s">
        <v>398</v>
      </c>
      <c r="C18" s="69" t="s">
        <v>399</v>
      </c>
      <c r="D18" s="20" t="s">
        <v>400</v>
      </c>
      <c r="E18" s="20">
        <v>46011</v>
      </c>
      <c r="F18" s="41">
        <v>150</v>
      </c>
      <c r="G18" s="42"/>
      <c r="H18" s="99" t="s">
        <v>580</v>
      </c>
      <c r="I18" s="1"/>
      <c r="J18" s="58"/>
      <c r="K18" s="7"/>
    </row>
    <row r="19" spans="1:11" ht="26.25" customHeight="1" x14ac:dyDescent="0.65">
      <c r="A19" s="17">
        <v>54</v>
      </c>
      <c r="B19" s="20" t="s">
        <v>380</v>
      </c>
      <c r="C19" s="69" t="s">
        <v>447</v>
      </c>
      <c r="D19" s="20" t="s">
        <v>448</v>
      </c>
      <c r="E19" s="20">
        <v>46006</v>
      </c>
      <c r="F19" s="41">
        <v>150</v>
      </c>
      <c r="G19" s="42"/>
      <c r="H19" s="39" t="s">
        <v>581</v>
      </c>
      <c r="I19" s="1"/>
      <c r="J19" s="58"/>
      <c r="K19" s="7"/>
    </row>
    <row r="20" spans="1:11" ht="26.25" customHeight="1" x14ac:dyDescent="0.65">
      <c r="A20" s="17">
        <v>55</v>
      </c>
      <c r="B20" s="20" t="s">
        <v>464</v>
      </c>
      <c r="C20" s="26" t="s">
        <v>465</v>
      </c>
      <c r="D20" s="10" t="s">
        <v>466</v>
      </c>
      <c r="E20" s="10">
        <v>46014</v>
      </c>
      <c r="F20" s="40">
        <v>100</v>
      </c>
      <c r="G20" s="42"/>
      <c r="H20" s="39" t="s">
        <v>582</v>
      </c>
      <c r="I20" s="1"/>
      <c r="J20" s="58"/>
      <c r="K20" s="7"/>
    </row>
    <row r="21" spans="1:11" ht="26.25" customHeight="1" x14ac:dyDescent="0.65">
      <c r="A21" s="17">
        <v>56</v>
      </c>
      <c r="B21" s="38" t="s">
        <v>514</v>
      </c>
      <c r="C21" s="26" t="s">
        <v>515</v>
      </c>
      <c r="D21" s="10" t="s">
        <v>516</v>
      </c>
      <c r="E21" s="10">
        <v>45955</v>
      </c>
      <c r="F21" s="50">
        <v>100</v>
      </c>
      <c r="G21" s="144">
        <v>100</v>
      </c>
      <c r="H21" s="39" t="s">
        <v>748</v>
      </c>
      <c r="I21" s="1"/>
      <c r="J21" s="58"/>
      <c r="K21" s="7"/>
    </row>
    <row r="22" spans="1:11" ht="26.25" hidden="1" customHeight="1" x14ac:dyDescent="0.65">
      <c r="A22" s="17">
        <v>57</v>
      </c>
      <c r="B22" s="10"/>
      <c r="C22" s="26"/>
      <c r="D22" s="10"/>
      <c r="E22" s="17"/>
      <c r="F22" s="40"/>
      <c r="G22" s="42"/>
      <c r="H22" s="85"/>
      <c r="I22" s="1"/>
      <c r="J22" s="58"/>
      <c r="K22" s="7"/>
    </row>
    <row r="23" spans="1:11" ht="26.25" hidden="1" customHeight="1" x14ac:dyDescent="0.65">
      <c r="A23" s="17">
        <v>58</v>
      </c>
      <c r="B23" s="10"/>
      <c r="C23" s="26"/>
      <c r="D23" s="10"/>
      <c r="E23" s="17"/>
      <c r="F23" s="40"/>
      <c r="G23" s="42"/>
      <c r="H23" s="85"/>
      <c r="I23" s="1"/>
      <c r="J23" s="58"/>
      <c r="K23" s="7"/>
    </row>
    <row r="24" spans="1:11" ht="26.25" customHeight="1" x14ac:dyDescent="0.65">
      <c r="A24" s="17">
        <v>57</v>
      </c>
      <c r="B24" s="10" t="s">
        <v>500</v>
      </c>
      <c r="C24" s="26" t="s">
        <v>600</v>
      </c>
      <c r="D24" s="10" t="s">
        <v>517</v>
      </c>
      <c r="E24" s="10">
        <v>45976</v>
      </c>
      <c r="F24" s="40">
        <v>100</v>
      </c>
      <c r="G24" s="42"/>
      <c r="H24" s="138" t="s">
        <v>714</v>
      </c>
      <c r="I24" s="1"/>
      <c r="J24" s="58"/>
      <c r="K24" s="7"/>
    </row>
    <row r="25" spans="1:11" ht="23.25" customHeight="1" x14ac:dyDescent="0.65">
      <c r="A25" s="6"/>
      <c r="B25" s="61"/>
      <c r="C25" s="9"/>
      <c r="D25" s="18"/>
      <c r="E25" s="18"/>
      <c r="F25" s="47">
        <f>SUM(F4+F5+F6+F7+F8+F9+F10+F11+F12+F13+F14+F15+F16+F17+F18+F19+F20+F21+F22+F23+F24+H28)</f>
        <v>2940</v>
      </c>
      <c r="G25" s="43"/>
      <c r="H25" s="85"/>
      <c r="I25" s="1"/>
      <c r="J25" s="59"/>
    </row>
    <row r="26" spans="1:11" x14ac:dyDescent="0.25">
      <c r="E26" s="19"/>
      <c r="F26" s="19"/>
    </row>
    <row r="27" spans="1:11" x14ac:dyDescent="0.25">
      <c r="E27" s="19"/>
      <c r="F27" s="19"/>
    </row>
  </sheetData>
  <pageMargins left="0.25" right="0" top="0.25" bottom="0.25" header="0.3" footer="0.3"/>
  <pageSetup paperSize="9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>
      <selection activeCell="F24" sqref="F24"/>
    </sheetView>
  </sheetViews>
  <sheetFormatPr defaultRowHeight="15" x14ac:dyDescent="0.25"/>
  <cols>
    <col min="1" max="1" width="4.7109375" customWidth="1"/>
    <col min="2" max="2" width="14" customWidth="1"/>
    <col min="3" max="3" width="19.42578125" customWidth="1"/>
    <col min="4" max="4" width="25" customWidth="1"/>
    <col min="5" max="5" width="11" customWidth="1"/>
    <col min="6" max="6" width="13.42578125" customWidth="1"/>
    <col min="7" max="7" width="6.85546875" style="8" customWidth="1"/>
    <col min="8" max="8" width="39.28515625" customWidth="1"/>
    <col min="9" max="9" width="11.7109375" customWidth="1"/>
    <col min="10" max="10" width="3" customWidth="1"/>
  </cols>
  <sheetData>
    <row r="1" spans="1:11" ht="23.25" customHeight="1" x14ac:dyDescent="0.6">
      <c r="A1" s="65"/>
      <c r="B1" s="65" t="s">
        <v>162</v>
      </c>
      <c r="C1" s="65"/>
      <c r="D1" s="65"/>
      <c r="E1" s="65"/>
      <c r="F1" s="66"/>
      <c r="G1" s="79"/>
      <c r="H1" s="66"/>
      <c r="I1" s="65"/>
      <c r="J1" s="65"/>
    </row>
    <row r="2" spans="1:11" ht="0.75" customHeight="1" x14ac:dyDescent="0.6">
      <c r="A2" s="65"/>
      <c r="B2" s="65"/>
      <c r="C2" s="65"/>
      <c r="D2" s="65"/>
      <c r="E2" s="65"/>
      <c r="F2" s="65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8" t="s">
        <v>152</v>
      </c>
      <c r="H3" s="39" t="s">
        <v>1</v>
      </c>
      <c r="I3" s="68" t="s">
        <v>2</v>
      </c>
      <c r="J3" s="80"/>
      <c r="K3" s="27"/>
    </row>
    <row r="4" spans="1:11" ht="26.25" customHeight="1" x14ac:dyDescent="0.65">
      <c r="A4" s="17">
        <v>58</v>
      </c>
      <c r="B4" s="20" t="s">
        <v>518</v>
      </c>
      <c r="C4" s="69" t="s">
        <v>523</v>
      </c>
      <c r="D4" s="20" t="s">
        <v>527</v>
      </c>
      <c r="E4" s="20">
        <v>46002</v>
      </c>
      <c r="F4" s="41">
        <v>100</v>
      </c>
      <c r="G4" s="42"/>
      <c r="H4" s="39"/>
      <c r="I4" s="1"/>
      <c r="J4" s="58"/>
      <c r="K4" s="7"/>
    </row>
    <row r="5" spans="1:11" ht="26.25" customHeight="1" x14ac:dyDescent="0.65">
      <c r="A5" s="17">
        <v>59</v>
      </c>
      <c r="B5" s="20" t="s">
        <v>520</v>
      </c>
      <c r="C5" s="69" t="s">
        <v>524</v>
      </c>
      <c r="D5" s="20" t="s">
        <v>528</v>
      </c>
      <c r="E5" s="20">
        <v>45997</v>
      </c>
      <c r="F5" s="41">
        <v>100</v>
      </c>
      <c r="G5" s="42"/>
      <c r="H5" s="99" t="s">
        <v>452</v>
      </c>
      <c r="I5" s="1"/>
      <c r="J5" s="58"/>
      <c r="K5" s="7"/>
    </row>
    <row r="6" spans="1:11" ht="26.25" customHeight="1" x14ac:dyDescent="0.65">
      <c r="A6" s="17">
        <v>60</v>
      </c>
      <c r="B6" s="20" t="s">
        <v>521</v>
      </c>
      <c r="C6" s="26" t="s">
        <v>623</v>
      </c>
      <c r="D6" s="10" t="s">
        <v>624</v>
      </c>
      <c r="E6" s="30">
        <v>46017</v>
      </c>
      <c r="F6" s="40">
        <v>100</v>
      </c>
      <c r="G6" s="42"/>
      <c r="H6" s="99"/>
      <c r="I6" s="1"/>
      <c r="J6" s="58"/>
      <c r="K6" s="7"/>
    </row>
    <row r="7" spans="1:11" ht="26.25" customHeight="1" x14ac:dyDescent="0.65">
      <c r="A7" s="17">
        <v>61</v>
      </c>
      <c r="B7" s="20" t="s">
        <v>522</v>
      </c>
      <c r="C7" s="69" t="s">
        <v>526</v>
      </c>
      <c r="D7" s="20" t="s">
        <v>531</v>
      </c>
      <c r="E7" s="20">
        <v>46016</v>
      </c>
      <c r="F7" s="41">
        <v>200</v>
      </c>
      <c r="G7" s="42"/>
      <c r="H7" s="39"/>
      <c r="I7" s="1"/>
      <c r="J7" s="58"/>
      <c r="K7" s="7"/>
    </row>
    <row r="8" spans="1:11" ht="26.25" customHeight="1" x14ac:dyDescent="0.65">
      <c r="A8" s="17">
        <v>62</v>
      </c>
      <c r="B8" s="20" t="s">
        <v>608</v>
      </c>
      <c r="C8" s="69" t="s">
        <v>609</v>
      </c>
      <c r="D8" s="20" t="s">
        <v>610</v>
      </c>
      <c r="E8" s="20">
        <v>46003</v>
      </c>
      <c r="F8" s="41">
        <v>100</v>
      </c>
      <c r="G8" s="42"/>
      <c r="H8" s="39"/>
      <c r="I8" s="1"/>
      <c r="J8" s="58"/>
      <c r="K8" s="7"/>
    </row>
    <row r="9" spans="1:11" ht="26.25" customHeight="1" x14ac:dyDescent="0.65">
      <c r="A9" s="17">
        <v>63</v>
      </c>
      <c r="B9" s="20" t="s">
        <v>611</v>
      </c>
      <c r="C9" s="69" t="s">
        <v>612</v>
      </c>
      <c r="D9" s="20" t="s">
        <v>613</v>
      </c>
      <c r="E9" s="20">
        <v>46007</v>
      </c>
      <c r="F9" s="41">
        <v>100</v>
      </c>
      <c r="G9" s="42"/>
      <c r="H9" s="39"/>
      <c r="I9" s="1"/>
      <c r="J9" s="58"/>
      <c r="K9" s="7"/>
    </row>
    <row r="10" spans="1:11" ht="26.25" customHeight="1" x14ac:dyDescent="0.65">
      <c r="A10" s="17">
        <v>64</v>
      </c>
      <c r="B10" s="20" t="s">
        <v>605</v>
      </c>
      <c r="C10" s="26" t="s">
        <v>606</v>
      </c>
      <c r="D10" s="10" t="s">
        <v>607</v>
      </c>
      <c r="E10" s="20">
        <v>46008</v>
      </c>
      <c r="F10" s="40">
        <v>100</v>
      </c>
      <c r="G10" s="104"/>
      <c r="H10" s="39"/>
      <c r="I10" s="85"/>
      <c r="J10" s="58"/>
      <c r="K10" s="7"/>
    </row>
    <row r="11" spans="1:11" ht="26.25" customHeight="1" x14ac:dyDescent="0.65">
      <c r="A11" s="17">
        <v>65</v>
      </c>
      <c r="B11" s="20" t="s">
        <v>616</v>
      </c>
      <c r="C11" s="69" t="s">
        <v>617</v>
      </c>
      <c r="D11" s="20" t="s">
        <v>618</v>
      </c>
      <c r="E11" s="20">
        <v>46011</v>
      </c>
      <c r="F11" s="41">
        <v>100</v>
      </c>
      <c r="G11" s="42"/>
      <c r="H11" s="39"/>
      <c r="I11" s="1"/>
      <c r="J11" s="58"/>
      <c r="K11" s="7"/>
    </row>
    <row r="12" spans="1:11" ht="26.25" customHeight="1" x14ac:dyDescent="0.65">
      <c r="A12" s="17">
        <v>66</v>
      </c>
      <c r="B12" s="20" t="s">
        <v>619</v>
      </c>
      <c r="C12" s="26" t="s">
        <v>620</v>
      </c>
      <c r="D12" s="10" t="s">
        <v>621</v>
      </c>
      <c r="E12" s="30">
        <v>46010</v>
      </c>
      <c r="F12" s="40">
        <v>200</v>
      </c>
      <c r="G12" s="42"/>
      <c r="H12" s="39"/>
      <c r="I12" s="1"/>
      <c r="J12" s="58"/>
      <c r="K12" s="7"/>
    </row>
    <row r="13" spans="1:11" ht="26.25" customHeight="1" x14ac:dyDescent="0.65">
      <c r="A13" s="17">
        <v>67</v>
      </c>
      <c r="B13" s="20"/>
      <c r="C13" s="26"/>
      <c r="D13" s="10"/>
      <c r="E13" s="30"/>
      <c r="F13" s="40"/>
      <c r="G13" s="42"/>
      <c r="H13" s="39"/>
      <c r="I13" s="1"/>
      <c r="J13" s="58"/>
      <c r="K13" s="7"/>
    </row>
    <row r="14" spans="1:11" ht="26.25" customHeight="1" x14ac:dyDescent="0.65">
      <c r="A14" s="17">
        <v>68</v>
      </c>
      <c r="B14" s="20"/>
      <c r="C14" s="26"/>
      <c r="D14" s="10"/>
      <c r="E14" s="30"/>
      <c r="F14" s="40"/>
      <c r="G14" s="42"/>
      <c r="H14" s="39"/>
      <c r="I14" s="1"/>
      <c r="J14" s="58"/>
      <c r="K14" s="7"/>
    </row>
    <row r="15" spans="1:11" ht="26.25" customHeight="1" x14ac:dyDescent="0.65">
      <c r="A15" s="17">
        <v>69</v>
      </c>
      <c r="B15" s="20"/>
      <c r="C15" s="26"/>
      <c r="D15" s="10"/>
      <c r="E15" s="20"/>
      <c r="F15" s="40"/>
      <c r="G15" s="42"/>
      <c r="H15" s="39"/>
      <c r="I15" s="1"/>
      <c r="J15" s="58"/>
      <c r="K15" s="7"/>
    </row>
    <row r="16" spans="1:11" ht="26.25" customHeight="1" x14ac:dyDescent="0.65">
      <c r="A16" s="17">
        <v>70</v>
      </c>
      <c r="B16" s="20"/>
      <c r="C16" s="26"/>
      <c r="D16" s="10"/>
      <c r="E16" s="10"/>
      <c r="F16" s="40"/>
      <c r="G16" s="42"/>
      <c r="H16" s="39"/>
      <c r="I16" s="1"/>
      <c r="J16" s="58"/>
      <c r="K16" s="7"/>
    </row>
    <row r="17" spans="1:11" ht="26.25" customHeight="1" x14ac:dyDescent="0.65">
      <c r="A17" s="17">
        <v>71</v>
      </c>
      <c r="B17" s="20"/>
      <c r="C17" s="69"/>
      <c r="D17" s="20"/>
      <c r="E17" s="20"/>
      <c r="F17" s="41"/>
      <c r="G17" s="42"/>
      <c r="H17" s="99"/>
      <c r="I17" s="1"/>
      <c r="J17" s="58"/>
      <c r="K17" s="7"/>
    </row>
    <row r="18" spans="1:11" ht="26.25" customHeight="1" x14ac:dyDescent="0.65">
      <c r="A18" s="17">
        <v>72</v>
      </c>
      <c r="B18" s="20"/>
      <c r="C18" s="69"/>
      <c r="D18" s="20"/>
      <c r="E18" s="20"/>
      <c r="F18" s="41"/>
      <c r="G18" s="42"/>
      <c r="H18" s="99"/>
      <c r="I18" s="1"/>
      <c r="J18" s="58"/>
      <c r="K18" s="7"/>
    </row>
    <row r="19" spans="1:11" ht="26.25" customHeight="1" x14ac:dyDescent="0.65">
      <c r="A19" s="17">
        <v>73</v>
      </c>
      <c r="B19" s="20"/>
      <c r="C19" s="69"/>
      <c r="D19" s="20"/>
      <c r="E19" s="20"/>
      <c r="F19" s="41"/>
      <c r="G19" s="42"/>
      <c r="H19" s="39"/>
      <c r="I19" s="1"/>
      <c r="J19" s="58"/>
      <c r="K19" s="7"/>
    </row>
    <row r="20" spans="1:11" ht="26.25" customHeight="1" x14ac:dyDescent="0.65">
      <c r="A20" s="17">
        <v>74</v>
      </c>
      <c r="B20" s="20"/>
      <c r="C20" s="26"/>
      <c r="D20" s="10"/>
      <c r="E20" s="10"/>
      <c r="F20" s="40"/>
      <c r="G20" s="42"/>
      <c r="H20" s="39"/>
      <c r="I20" s="1"/>
      <c r="J20" s="58"/>
      <c r="K20" s="7"/>
    </row>
    <row r="21" spans="1:11" ht="26.25" customHeight="1" x14ac:dyDescent="0.65">
      <c r="A21" s="17">
        <v>75</v>
      </c>
      <c r="B21" s="10"/>
      <c r="C21" s="26"/>
      <c r="D21" s="10"/>
      <c r="E21" s="17"/>
      <c r="F21" s="40"/>
      <c r="G21" s="42"/>
      <c r="H21" s="93"/>
      <c r="I21" s="1"/>
      <c r="J21" s="58"/>
      <c r="K21" s="7"/>
    </row>
    <row r="22" spans="1:11" ht="26.25" customHeight="1" x14ac:dyDescent="0.65">
      <c r="A22" s="17">
        <v>76</v>
      </c>
      <c r="B22" s="10"/>
      <c r="C22" s="26"/>
      <c r="D22" s="10"/>
      <c r="E22" s="17"/>
      <c r="F22" s="40"/>
      <c r="G22" s="42"/>
      <c r="H22" s="85"/>
      <c r="I22" s="1"/>
      <c r="J22" s="58"/>
      <c r="K22" s="7"/>
    </row>
    <row r="23" spans="1:11" ht="23.25" customHeight="1" x14ac:dyDescent="0.65">
      <c r="A23" s="6"/>
      <c r="B23" s="61"/>
      <c r="C23" s="9"/>
      <c r="D23" s="18"/>
      <c r="E23" s="18"/>
      <c r="F23" s="47">
        <f>SUM(F4:F22)</f>
        <v>1100</v>
      </c>
      <c r="G23" s="43"/>
      <c r="H23" s="85"/>
      <c r="I23" s="1"/>
      <c r="J23" s="59"/>
    </row>
    <row r="24" spans="1:11" x14ac:dyDescent="0.25">
      <c r="E24" s="19"/>
      <c r="F24" s="19"/>
    </row>
    <row r="25" spans="1:11" x14ac:dyDescent="0.25">
      <c r="E25" s="19"/>
      <c r="F25" s="19"/>
    </row>
  </sheetData>
  <pageMargins left="0.25" right="0" top="0.25" bottom="0.25" header="0.3" footer="0.3"/>
  <pageSetup paperSize="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selection activeCell="E10" sqref="E10"/>
    </sheetView>
  </sheetViews>
  <sheetFormatPr defaultRowHeight="15" x14ac:dyDescent="0.25"/>
  <cols>
    <col min="1" max="1" width="4.7109375" customWidth="1"/>
    <col min="2" max="2" width="20.140625" customWidth="1"/>
    <col min="3" max="3" width="23.28515625" style="3" customWidth="1"/>
    <col min="4" max="4" width="24.5703125" customWidth="1"/>
    <col min="5" max="5" width="11" customWidth="1"/>
    <col min="6" max="6" width="12.42578125" customWidth="1"/>
    <col min="7" max="7" width="6.42578125" style="8" customWidth="1"/>
    <col min="8" max="8" width="35.28515625" customWidth="1"/>
    <col min="9" max="9" width="7.140625" customWidth="1"/>
  </cols>
  <sheetData>
    <row r="1" spans="1:10" ht="24" customHeight="1" x14ac:dyDescent="0.6">
      <c r="A1" s="65"/>
      <c r="B1" s="65" t="s">
        <v>749</v>
      </c>
      <c r="C1" s="66"/>
      <c r="D1" s="65"/>
      <c r="E1" s="65"/>
      <c r="F1" s="66"/>
      <c r="G1" s="79"/>
      <c r="H1" s="66"/>
      <c r="I1" s="65"/>
      <c r="J1" s="65"/>
    </row>
    <row r="2" spans="1:10" ht="1.5" customHeight="1" x14ac:dyDescent="0.6">
      <c r="A2" s="65"/>
      <c r="B2" s="65"/>
      <c r="C2" s="66"/>
      <c r="D2" s="65"/>
      <c r="E2" s="65"/>
      <c r="F2" s="65"/>
      <c r="G2" s="79"/>
      <c r="H2" s="65"/>
      <c r="I2" s="65"/>
      <c r="J2" s="65"/>
    </row>
    <row r="3" spans="1:10" s="33" customFormat="1" ht="27" customHeight="1" x14ac:dyDescent="0.8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7" t="s">
        <v>152</v>
      </c>
      <c r="H3" s="68" t="s">
        <v>1</v>
      </c>
      <c r="I3" s="67" t="s">
        <v>386</v>
      </c>
      <c r="J3" s="70"/>
    </row>
    <row r="4" spans="1:10" ht="26.25" customHeight="1" x14ac:dyDescent="0.65">
      <c r="A4" s="4">
        <v>1</v>
      </c>
      <c r="B4" s="20" t="s">
        <v>91</v>
      </c>
      <c r="C4" s="26" t="s">
        <v>95</v>
      </c>
      <c r="D4" s="10" t="s">
        <v>101</v>
      </c>
      <c r="E4" s="10">
        <v>46002</v>
      </c>
      <c r="F4" s="41">
        <v>300</v>
      </c>
      <c r="G4" s="4"/>
      <c r="H4" s="13"/>
      <c r="I4" s="1"/>
      <c r="J4" s="7"/>
    </row>
    <row r="5" spans="1:10" s="25" customFormat="1" ht="26.25" customHeight="1" x14ac:dyDescent="0.65">
      <c r="A5" s="21">
        <v>2</v>
      </c>
      <c r="B5" s="32" t="s">
        <v>185</v>
      </c>
      <c r="C5" s="69" t="s">
        <v>182</v>
      </c>
      <c r="D5" s="20" t="s">
        <v>183</v>
      </c>
      <c r="E5" s="32">
        <v>46010</v>
      </c>
      <c r="F5" s="41">
        <v>250</v>
      </c>
      <c r="G5" s="22"/>
      <c r="H5" s="34" t="s">
        <v>184</v>
      </c>
      <c r="I5" s="23"/>
      <c r="J5" s="24"/>
    </row>
    <row r="6" spans="1:10" s="25" customFormat="1" ht="26.25" customHeight="1" x14ac:dyDescent="0.65">
      <c r="A6" s="21">
        <v>3</v>
      </c>
      <c r="B6" s="10" t="s">
        <v>92</v>
      </c>
      <c r="C6" s="26" t="s">
        <v>96</v>
      </c>
      <c r="D6" s="16" t="s">
        <v>100</v>
      </c>
      <c r="E6" s="10">
        <v>46001</v>
      </c>
      <c r="F6" s="40">
        <v>448</v>
      </c>
      <c r="G6" s="12"/>
      <c r="H6" s="39" t="s">
        <v>211</v>
      </c>
      <c r="I6" s="95"/>
      <c r="J6" s="24"/>
    </row>
    <row r="7" spans="1:10" ht="26.25" customHeight="1" x14ac:dyDescent="0.65">
      <c r="A7" s="4">
        <v>4</v>
      </c>
      <c r="B7" s="10" t="s">
        <v>753</v>
      </c>
      <c r="C7" s="26" t="s">
        <v>96</v>
      </c>
      <c r="D7" s="16" t="s">
        <v>754</v>
      </c>
      <c r="E7" s="10">
        <v>46001</v>
      </c>
      <c r="F7" s="40">
        <v>200</v>
      </c>
      <c r="G7" s="12"/>
      <c r="H7" s="39" t="s">
        <v>755</v>
      </c>
      <c r="I7" s="85"/>
      <c r="J7" s="7"/>
    </row>
    <row r="8" spans="1:10" ht="26.25" customHeight="1" x14ac:dyDescent="0.65">
      <c r="A8" s="4">
        <v>5</v>
      </c>
      <c r="B8" s="30" t="s">
        <v>94</v>
      </c>
      <c r="C8" s="26" t="s">
        <v>384</v>
      </c>
      <c r="D8" s="10" t="s">
        <v>98</v>
      </c>
      <c r="E8" s="20">
        <v>45996</v>
      </c>
      <c r="F8" s="55">
        <v>349</v>
      </c>
      <c r="G8" s="4"/>
      <c r="H8" s="39" t="s">
        <v>213</v>
      </c>
      <c r="I8" s="85"/>
      <c r="J8" s="7"/>
    </row>
    <row r="9" spans="1:10" ht="26.25" customHeight="1" x14ac:dyDescent="0.65">
      <c r="A9" s="4">
        <v>6</v>
      </c>
      <c r="B9" s="30" t="s">
        <v>383</v>
      </c>
      <c r="C9" s="26" t="s">
        <v>384</v>
      </c>
      <c r="D9" s="10" t="s">
        <v>98</v>
      </c>
      <c r="E9" s="10">
        <v>45988</v>
      </c>
      <c r="F9" s="55">
        <v>200</v>
      </c>
      <c r="G9" s="4"/>
      <c r="H9" s="39" t="s">
        <v>385</v>
      </c>
      <c r="I9" s="85"/>
      <c r="J9" s="7"/>
    </row>
    <row r="10" spans="1:10" ht="26.25" customHeight="1" x14ac:dyDescent="0.65">
      <c r="A10" s="4">
        <v>7</v>
      </c>
      <c r="B10" s="20" t="s">
        <v>107</v>
      </c>
      <c r="C10" s="26" t="s">
        <v>108</v>
      </c>
      <c r="D10" s="10" t="s">
        <v>109</v>
      </c>
      <c r="E10" s="20">
        <v>46006</v>
      </c>
      <c r="F10" s="41">
        <v>150</v>
      </c>
      <c r="G10" s="4"/>
      <c r="H10" s="94" t="s">
        <v>201</v>
      </c>
      <c r="I10" s="85"/>
      <c r="J10" s="7"/>
    </row>
    <row r="11" spans="1:10" ht="26.25" customHeight="1" x14ac:dyDescent="0.65">
      <c r="A11" s="4">
        <v>8</v>
      </c>
      <c r="B11" s="38" t="s">
        <v>14</v>
      </c>
      <c r="C11" s="26" t="s">
        <v>21</v>
      </c>
      <c r="D11" s="10" t="s">
        <v>35</v>
      </c>
      <c r="E11" s="30">
        <v>45927</v>
      </c>
      <c r="F11" s="50">
        <v>150</v>
      </c>
      <c r="G11" s="4"/>
      <c r="H11" s="96" t="s">
        <v>715</v>
      </c>
      <c r="I11" s="85"/>
      <c r="J11" s="7"/>
    </row>
    <row r="12" spans="1:10" ht="26.25" customHeight="1" x14ac:dyDescent="0.65">
      <c r="A12" s="4">
        <v>9</v>
      </c>
      <c r="B12" s="10" t="s">
        <v>121</v>
      </c>
      <c r="C12" s="26" t="s">
        <v>122</v>
      </c>
      <c r="D12" s="10" t="s">
        <v>132</v>
      </c>
      <c r="E12" s="10">
        <v>46006</v>
      </c>
      <c r="F12" s="40">
        <v>248</v>
      </c>
      <c r="G12" s="4"/>
      <c r="H12" s="94" t="s">
        <v>578</v>
      </c>
      <c r="I12" s="85"/>
      <c r="J12" s="7"/>
    </row>
    <row r="13" spans="1:10" ht="26.25" customHeight="1" x14ac:dyDescent="0.65">
      <c r="A13" s="4">
        <v>10</v>
      </c>
      <c r="B13" s="38" t="s">
        <v>145</v>
      </c>
      <c r="C13" s="26" t="s">
        <v>134</v>
      </c>
      <c r="D13" s="10" t="s">
        <v>622</v>
      </c>
      <c r="E13" s="10">
        <v>45915</v>
      </c>
      <c r="F13" s="50">
        <v>100</v>
      </c>
      <c r="G13" s="4"/>
      <c r="H13" s="97" t="s">
        <v>625</v>
      </c>
      <c r="I13" s="52"/>
      <c r="J13" s="7"/>
    </row>
    <row r="14" spans="1:10" ht="26.25" customHeight="1" x14ac:dyDescent="0.65">
      <c r="A14" s="4">
        <v>11</v>
      </c>
      <c r="B14" s="38" t="s">
        <v>136</v>
      </c>
      <c r="C14" s="26" t="s">
        <v>135</v>
      </c>
      <c r="D14" s="10" t="s">
        <v>137</v>
      </c>
      <c r="E14" s="10">
        <v>45899</v>
      </c>
      <c r="F14" s="50">
        <v>300</v>
      </c>
      <c r="G14" s="4"/>
      <c r="H14" s="97" t="s">
        <v>598</v>
      </c>
      <c r="I14" s="85"/>
      <c r="J14" s="7"/>
    </row>
    <row r="15" spans="1:10" ht="26.25" customHeight="1" x14ac:dyDescent="0.65">
      <c r="A15" s="4">
        <v>12</v>
      </c>
      <c r="B15" s="10" t="s">
        <v>146</v>
      </c>
      <c r="C15" s="26" t="s">
        <v>147</v>
      </c>
      <c r="D15" s="10" t="s">
        <v>148</v>
      </c>
      <c r="E15" s="10">
        <v>46004</v>
      </c>
      <c r="F15" s="40">
        <v>100</v>
      </c>
      <c r="G15" s="4"/>
      <c r="H15" s="39"/>
      <c r="I15" s="85"/>
      <c r="J15" s="7"/>
    </row>
    <row r="16" spans="1:10" ht="26.25" customHeight="1" x14ac:dyDescent="0.65">
      <c r="A16" s="4">
        <v>13</v>
      </c>
      <c r="B16" s="20" t="s">
        <v>149</v>
      </c>
      <c r="C16" s="26" t="s">
        <v>150</v>
      </c>
      <c r="D16" s="10" t="s">
        <v>151</v>
      </c>
      <c r="E16" s="10">
        <v>46004</v>
      </c>
      <c r="F16" s="41">
        <v>200</v>
      </c>
      <c r="G16" s="4"/>
      <c r="H16" s="39" t="s">
        <v>153</v>
      </c>
      <c r="I16" s="85"/>
      <c r="J16" s="7"/>
    </row>
    <row r="17" spans="1:10" ht="26.25" customHeight="1" x14ac:dyDescent="0.65">
      <c r="A17" s="4">
        <v>14</v>
      </c>
      <c r="B17" s="20" t="s">
        <v>156</v>
      </c>
      <c r="C17" s="26" t="s">
        <v>263</v>
      </c>
      <c r="D17" s="10" t="s">
        <v>264</v>
      </c>
      <c r="E17" s="10">
        <v>46001</v>
      </c>
      <c r="F17" s="40">
        <v>100</v>
      </c>
      <c r="G17" s="4"/>
      <c r="H17" s="90"/>
      <c r="I17" s="85"/>
      <c r="J17" s="7"/>
    </row>
    <row r="18" spans="1:10" ht="26.25" customHeight="1" x14ac:dyDescent="0.65">
      <c r="A18" s="4">
        <v>15</v>
      </c>
      <c r="B18" s="38" t="s">
        <v>171</v>
      </c>
      <c r="C18" s="26" t="s">
        <v>157</v>
      </c>
      <c r="D18" s="10" t="s">
        <v>158</v>
      </c>
      <c r="E18" s="10">
        <v>45982</v>
      </c>
      <c r="F18" s="50">
        <v>200</v>
      </c>
      <c r="G18" s="143">
        <v>100</v>
      </c>
      <c r="H18" s="98" t="s">
        <v>756</v>
      </c>
      <c r="I18" s="85"/>
      <c r="J18" s="7"/>
    </row>
    <row r="19" spans="1:10" ht="26.25" customHeight="1" x14ac:dyDescent="0.65">
      <c r="A19" s="4">
        <v>16</v>
      </c>
      <c r="B19" s="10" t="s">
        <v>262</v>
      </c>
      <c r="C19" s="26" t="s">
        <v>159</v>
      </c>
      <c r="D19" s="10" t="s">
        <v>160</v>
      </c>
      <c r="E19" s="10">
        <v>46014</v>
      </c>
      <c r="F19" s="40">
        <v>100</v>
      </c>
      <c r="G19" s="4"/>
      <c r="H19" s="39"/>
      <c r="I19" s="85"/>
      <c r="J19" s="7"/>
    </row>
    <row r="20" spans="1:10" ht="26.25" customHeight="1" x14ac:dyDescent="0.65">
      <c r="A20" s="4">
        <v>17</v>
      </c>
      <c r="B20" s="38" t="s">
        <v>233</v>
      </c>
      <c r="C20" s="26" t="s">
        <v>172</v>
      </c>
      <c r="D20" s="10" t="s">
        <v>234</v>
      </c>
      <c r="E20" s="10">
        <v>45889</v>
      </c>
      <c r="F20" s="40">
        <v>200</v>
      </c>
      <c r="G20" s="4"/>
      <c r="H20" s="87" t="s">
        <v>173</v>
      </c>
      <c r="I20" s="85"/>
      <c r="J20" s="7"/>
    </row>
    <row r="21" spans="1:10" ht="26.25" customHeight="1" x14ac:dyDescent="0.65">
      <c r="A21" s="4">
        <v>18</v>
      </c>
      <c r="B21" s="20" t="s">
        <v>636</v>
      </c>
      <c r="C21" s="26" t="s">
        <v>637</v>
      </c>
      <c r="D21" s="10" t="s">
        <v>638</v>
      </c>
      <c r="E21" s="10">
        <v>46006</v>
      </c>
      <c r="F21" s="40">
        <v>100</v>
      </c>
      <c r="G21" s="4"/>
      <c r="H21" s="87" t="s">
        <v>639</v>
      </c>
      <c r="I21" s="85"/>
      <c r="J21" s="7"/>
    </row>
    <row r="22" spans="1:10" ht="26.25" customHeight="1" x14ac:dyDescent="0.65">
      <c r="A22" s="4">
        <v>19</v>
      </c>
      <c r="B22" s="10" t="s">
        <v>93</v>
      </c>
      <c r="C22" s="26" t="s">
        <v>97</v>
      </c>
      <c r="D22" s="10" t="s">
        <v>99</v>
      </c>
      <c r="E22" s="10">
        <v>46011</v>
      </c>
      <c r="F22" s="40">
        <v>319</v>
      </c>
      <c r="G22" s="12"/>
      <c r="H22" s="39" t="s">
        <v>212</v>
      </c>
      <c r="I22" s="85"/>
      <c r="J22" s="7"/>
    </row>
    <row r="23" spans="1:10" ht="23.25" customHeight="1" x14ac:dyDescent="0.25">
      <c r="A23" s="6"/>
      <c r="B23" s="9"/>
      <c r="C23" s="60"/>
      <c r="D23" s="1"/>
      <c r="E23" s="18"/>
      <c r="F23" s="47">
        <f>SUM(F4:F21)</f>
        <v>3695</v>
      </c>
      <c r="G23" s="5"/>
      <c r="H23" s="15"/>
      <c r="I23" s="1"/>
    </row>
  </sheetData>
  <phoneticPr fontId="20" type="noConversion"/>
  <pageMargins left="0.25" right="0" top="0" bottom="0" header="0.3" footer="0.3"/>
  <pageSetup paperSize="9" orientation="landscape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"/>
  <sheetViews>
    <sheetView workbookViewId="0">
      <selection activeCell="H10" sqref="H10"/>
    </sheetView>
  </sheetViews>
  <sheetFormatPr defaultRowHeight="15" x14ac:dyDescent="0.25"/>
  <cols>
    <col min="1" max="1" width="4.7109375" customWidth="1"/>
    <col min="2" max="2" width="14.7109375" customWidth="1"/>
    <col min="3" max="3" width="16.85546875" customWidth="1"/>
    <col min="4" max="4" width="24.28515625" customWidth="1"/>
    <col min="5" max="5" width="11.7109375" customWidth="1"/>
    <col min="6" max="6" width="12.7109375" customWidth="1"/>
    <col min="7" max="7" width="6.7109375" style="3" customWidth="1"/>
    <col min="8" max="8" width="40.42578125" customWidth="1"/>
    <col min="9" max="9" width="11.28515625" customWidth="1"/>
    <col min="10" max="10" width="3.7109375" hidden="1" customWidth="1"/>
  </cols>
  <sheetData>
    <row r="1" spans="1:11" ht="26.25" customHeight="1" x14ac:dyDescent="0.6">
      <c r="A1" s="65"/>
      <c r="B1" s="65" t="s">
        <v>749</v>
      </c>
      <c r="C1" s="65"/>
      <c r="D1" s="65"/>
      <c r="E1" s="65"/>
      <c r="F1" s="66"/>
      <c r="G1" s="66"/>
      <c r="H1" s="66"/>
      <c r="I1" s="65"/>
    </row>
    <row r="2" spans="1:11" ht="0.75" hidden="1" customHeight="1" x14ac:dyDescent="0.6">
      <c r="A2" s="65"/>
      <c r="B2" s="65"/>
      <c r="C2" s="65"/>
      <c r="D2" s="65"/>
      <c r="E2" s="65"/>
      <c r="F2" s="65"/>
      <c r="G2" s="66"/>
      <c r="H2" s="65"/>
      <c r="I2" s="65"/>
    </row>
    <row r="3" spans="1:11" s="28" customFormat="1" ht="27.75" customHeight="1" x14ac:dyDescent="0.8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8" t="s">
        <v>152</v>
      </c>
      <c r="H3" s="68" t="s">
        <v>1</v>
      </c>
      <c r="I3" s="68" t="s">
        <v>2</v>
      </c>
      <c r="J3" s="29"/>
      <c r="K3" s="27"/>
    </row>
    <row r="4" spans="1:11" ht="26.25" customHeight="1" x14ac:dyDescent="0.65">
      <c r="A4" s="17">
        <v>20</v>
      </c>
      <c r="B4" s="20" t="s">
        <v>429</v>
      </c>
      <c r="C4" s="26" t="s">
        <v>430</v>
      </c>
      <c r="D4" s="10" t="s">
        <v>567</v>
      </c>
      <c r="E4" s="20">
        <v>46013</v>
      </c>
      <c r="F4" s="41">
        <v>100</v>
      </c>
      <c r="G4" s="106"/>
      <c r="H4" s="14"/>
      <c r="I4" s="1"/>
      <c r="J4" s="1"/>
      <c r="K4" s="7"/>
    </row>
    <row r="5" spans="1:11" ht="26.25" customHeight="1" x14ac:dyDescent="0.65">
      <c r="A5" s="17">
        <v>21</v>
      </c>
      <c r="B5" s="20" t="s">
        <v>195</v>
      </c>
      <c r="C5" s="26" t="s">
        <v>196</v>
      </c>
      <c r="D5" s="10" t="s">
        <v>197</v>
      </c>
      <c r="E5" s="20">
        <v>46006</v>
      </c>
      <c r="F5" s="41">
        <v>100</v>
      </c>
      <c r="G5" s="106"/>
      <c r="H5" s="39" t="s">
        <v>532</v>
      </c>
      <c r="I5" s="85"/>
      <c r="J5" s="1"/>
      <c r="K5" s="7"/>
    </row>
    <row r="6" spans="1:11" ht="26.25" customHeight="1" x14ac:dyDescent="0.65">
      <c r="A6" s="17">
        <v>22</v>
      </c>
      <c r="B6" s="20" t="s">
        <v>219</v>
      </c>
      <c r="C6" s="26" t="s">
        <v>215</v>
      </c>
      <c r="D6" s="10" t="s">
        <v>220</v>
      </c>
      <c r="E6" s="20">
        <v>46010</v>
      </c>
      <c r="F6" s="41">
        <v>200</v>
      </c>
      <c r="G6" s="106"/>
      <c r="H6" s="39" t="s">
        <v>311</v>
      </c>
      <c r="I6" s="85"/>
      <c r="J6" s="1"/>
      <c r="K6" s="7"/>
    </row>
    <row r="7" spans="1:11" ht="26.25" customHeight="1" x14ac:dyDescent="0.65">
      <c r="A7" s="17">
        <v>23</v>
      </c>
      <c r="B7" s="38" t="s">
        <v>324</v>
      </c>
      <c r="C7" s="26" t="s">
        <v>381</v>
      </c>
      <c r="D7" s="10" t="s">
        <v>382</v>
      </c>
      <c r="E7" s="10">
        <v>45915</v>
      </c>
      <c r="F7" s="50">
        <v>100</v>
      </c>
      <c r="G7" s="106">
        <v>200</v>
      </c>
      <c r="H7" s="39" t="s">
        <v>629</v>
      </c>
      <c r="I7" s="85"/>
      <c r="J7" s="1"/>
      <c r="K7" s="7"/>
    </row>
    <row r="8" spans="1:11" ht="26.25" customHeight="1" x14ac:dyDescent="0.65">
      <c r="A8" s="17">
        <v>24</v>
      </c>
      <c r="B8" s="20" t="s">
        <v>322</v>
      </c>
      <c r="C8" s="26" t="s">
        <v>360</v>
      </c>
      <c r="D8" s="10" t="s">
        <v>323</v>
      </c>
      <c r="E8" s="10">
        <v>45996</v>
      </c>
      <c r="F8" s="41">
        <v>200</v>
      </c>
      <c r="G8" s="106">
        <v>2400</v>
      </c>
      <c r="H8" s="39"/>
      <c r="I8" s="85"/>
      <c r="J8" s="1"/>
      <c r="K8" s="7"/>
    </row>
    <row r="9" spans="1:11" ht="26.25" customHeight="1" x14ac:dyDescent="0.65">
      <c r="A9" s="17">
        <v>25</v>
      </c>
      <c r="B9" s="20" t="s">
        <v>223</v>
      </c>
      <c r="C9" s="26" t="s">
        <v>221</v>
      </c>
      <c r="D9" s="10" t="s">
        <v>222</v>
      </c>
      <c r="E9" s="10">
        <v>46003</v>
      </c>
      <c r="F9" s="40">
        <v>150</v>
      </c>
      <c r="G9" s="106"/>
      <c r="H9" s="39" t="s">
        <v>574</v>
      </c>
      <c r="I9" s="85"/>
      <c r="J9" s="1"/>
      <c r="K9" s="7"/>
    </row>
    <row r="10" spans="1:11" ht="26.25" customHeight="1" x14ac:dyDescent="0.65">
      <c r="A10" s="17">
        <v>26</v>
      </c>
      <c r="B10" s="20" t="s">
        <v>313</v>
      </c>
      <c r="C10" s="26" t="s">
        <v>224</v>
      </c>
      <c r="D10" s="10" t="s">
        <v>225</v>
      </c>
      <c r="E10" s="20">
        <v>46002</v>
      </c>
      <c r="F10" s="41">
        <v>150</v>
      </c>
      <c r="G10" s="106"/>
      <c r="H10" s="146" t="s">
        <v>312</v>
      </c>
      <c r="I10" s="85"/>
      <c r="J10" s="1"/>
      <c r="K10" s="7"/>
    </row>
    <row r="11" spans="1:11" ht="26.25" customHeight="1" x14ac:dyDescent="0.65">
      <c r="A11" s="17">
        <v>27</v>
      </c>
      <c r="B11" s="20" t="s">
        <v>330</v>
      </c>
      <c r="C11" s="26" t="s">
        <v>331</v>
      </c>
      <c r="D11" s="10" t="s">
        <v>631</v>
      </c>
      <c r="E11" s="20">
        <v>46003</v>
      </c>
      <c r="F11" s="41">
        <v>295</v>
      </c>
      <c r="G11" s="4"/>
      <c r="H11" s="39"/>
      <c r="I11" s="85"/>
      <c r="J11" s="1"/>
      <c r="K11" s="7"/>
    </row>
    <row r="12" spans="1:11" ht="26.25" customHeight="1" x14ac:dyDescent="0.65">
      <c r="A12" s="17">
        <v>28</v>
      </c>
      <c r="B12" s="20" t="s">
        <v>235</v>
      </c>
      <c r="C12" s="26" t="s">
        <v>236</v>
      </c>
      <c r="D12" s="18" t="s">
        <v>237</v>
      </c>
      <c r="E12" s="20">
        <v>46016</v>
      </c>
      <c r="F12" s="41">
        <v>200</v>
      </c>
      <c r="G12" s="106"/>
      <c r="H12" s="90" t="s">
        <v>314</v>
      </c>
      <c r="I12" s="85"/>
      <c r="J12" s="1"/>
      <c r="K12" s="7"/>
    </row>
    <row r="13" spans="1:11" ht="26.25" customHeight="1" x14ac:dyDescent="0.65">
      <c r="A13" s="17">
        <v>29</v>
      </c>
      <c r="B13" s="38" t="s">
        <v>238</v>
      </c>
      <c r="C13" s="26" t="s">
        <v>239</v>
      </c>
      <c r="D13" s="18" t="s">
        <v>240</v>
      </c>
      <c r="E13" s="20">
        <v>45945</v>
      </c>
      <c r="F13" s="41">
        <v>300</v>
      </c>
      <c r="G13" s="106">
        <v>600</v>
      </c>
      <c r="H13" s="145" t="s">
        <v>750</v>
      </c>
      <c r="I13" s="85"/>
      <c r="J13" s="1"/>
      <c r="K13" s="7"/>
    </row>
    <row r="14" spans="1:11" ht="26.25" customHeight="1" x14ac:dyDescent="0.65">
      <c r="A14" s="17">
        <v>30</v>
      </c>
      <c r="B14" s="38" t="s">
        <v>642</v>
      </c>
      <c r="C14" s="69" t="s">
        <v>640</v>
      </c>
      <c r="D14" s="20" t="s">
        <v>641</v>
      </c>
      <c r="E14" s="20">
        <v>45966</v>
      </c>
      <c r="F14" s="41">
        <v>100</v>
      </c>
      <c r="G14" s="106">
        <v>100</v>
      </c>
      <c r="H14" s="99" t="s">
        <v>698</v>
      </c>
      <c r="I14" s="85"/>
      <c r="J14" s="1"/>
      <c r="K14" s="7"/>
    </row>
    <row r="15" spans="1:11" ht="26.25" customHeight="1" x14ac:dyDescent="0.65">
      <c r="A15" s="17">
        <v>31</v>
      </c>
      <c r="B15" s="20" t="s">
        <v>261</v>
      </c>
      <c r="C15" s="26" t="s">
        <v>338</v>
      </c>
      <c r="D15" s="10" t="s">
        <v>339</v>
      </c>
      <c r="E15" s="10">
        <v>46010</v>
      </c>
      <c r="F15" s="41">
        <v>100</v>
      </c>
      <c r="G15" s="106"/>
      <c r="H15" s="90" t="s">
        <v>575</v>
      </c>
      <c r="I15" s="85"/>
      <c r="J15" s="1"/>
      <c r="K15" s="7"/>
    </row>
    <row r="16" spans="1:11" ht="26.25" customHeight="1" x14ac:dyDescent="0.65">
      <c r="A16" s="17">
        <v>32</v>
      </c>
      <c r="B16" s="20" t="s">
        <v>467</v>
      </c>
      <c r="C16" s="26" t="s">
        <v>468</v>
      </c>
      <c r="D16" s="18" t="s">
        <v>469</v>
      </c>
      <c r="E16" s="20">
        <v>46011</v>
      </c>
      <c r="F16" s="41">
        <v>100</v>
      </c>
      <c r="G16" s="106"/>
      <c r="H16" s="90" t="s">
        <v>533</v>
      </c>
      <c r="I16" s="85"/>
      <c r="J16" s="1"/>
      <c r="K16" s="7"/>
    </row>
    <row r="17" spans="1:11" ht="26.25" customHeight="1" x14ac:dyDescent="0.65">
      <c r="A17" s="17">
        <v>33</v>
      </c>
      <c r="B17" s="20" t="s">
        <v>285</v>
      </c>
      <c r="C17" s="26" t="s">
        <v>286</v>
      </c>
      <c r="D17" s="18" t="s">
        <v>287</v>
      </c>
      <c r="E17" s="20">
        <v>46001</v>
      </c>
      <c r="F17" s="41">
        <v>100</v>
      </c>
      <c r="G17" s="106"/>
      <c r="H17" s="39" t="s">
        <v>576</v>
      </c>
      <c r="I17" s="85"/>
      <c r="J17" s="1"/>
      <c r="K17" s="7"/>
    </row>
    <row r="18" spans="1:11" ht="26.25" customHeight="1" x14ac:dyDescent="0.65">
      <c r="A18" s="17">
        <v>34</v>
      </c>
      <c r="B18" s="20" t="s">
        <v>245</v>
      </c>
      <c r="C18" s="26" t="s">
        <v>288</v>
      </c>
      <c r="D18" s="18" t="s">
        <v>292</v>
      </c>
      <c r="E18" s="20">
        <v>46006</v>
      </c>
      <c r="F18" s="41">
        <v>100</v>
      </c>
      <c r="G18" s="106"/>
      <c r="H18" s="39" t="s">
        <v>315</v>
      </c>
      <c r="I18" s="85"/>
      <c r="J18" s="1"/>
      <c r="K18" s="7"/>
    </row>
    <row r="19" spans="1:11" ht="26.25" customHeight="1" x14ac:dyDescent="0.65">
      <c r="A19" s="17">
        <v>35</v>
      </c>
      <c r="B19" s="10" t="s">
        <v>290</v>
      </c>
      <c r="C19" s="26" t="s">
        <v>291</v>
      </c>
      <c r="D19" s="18" t="s">
        <v>289</v>
      </c>
      <c r="E19" s="10">
        <v>46004</v>
      </c>
      <c r="F19" s="41">
        <v>100</v>
      </c>
      <c r="G19" s="106"/>
      <c r="H19" s="39" t="s">
        <v>316</v>
      </c>
      <c r="I19" s="85"/>
      <c r="J19" s="1"/>
      <c r="K19" s="7"/>
    </row>
    <row r="20" spans="1:11" ht="26.25" customHeight="1" x14ac:dyDescent="0.65">
      <c r="A20" s="17">
        <v>36</v>
      </c>
      <c r="B20" s="10" t="s">
        <v>300</v>
      </c>
      <c r="C20" s="26" t="s">
        <v>301</v>
      </c>
      <c r="D20" s="10" t="s">
        <v>302</v>
      </c>
      <c r="E20" s="10">
        <v>46016</v>
      </c>
      <c r="F20" s="41">
        <v>100</v>
      </c>
      <c r="G20" s="106"/>
      <c r="H20" s="39" t="s">
        <v>577</v>
      </c>
      <c r="I20" s="85"/>
      <c r="J20" s="1"/>
      <c r="K20" s="7"/>
    </row>
    <row r="21" spans="1:11" ht="26.25" customHeight="1" x14ac:dyDescent="0.65">
      <c r="A21" s="17">
        <v>37</v>
      </c>
      <c r="B21" s="32" t="s">
        <v>179</v>
      </c>
      <c r="C21" s="26" t="s">
        <v>180</v>
      </c>
      <c r="D21" s="10" t="s">
        <v>181</v>
      </c>
      <c r="E21" s="10">
        <v>46011</v>
      </c>
      <c r="F21" s="40">
        <v>100</v>
      </c>
      <c r="G21" s="106"/>
      <c r="H21" s="31" t="s">
        <v>202</v>
      </c>
      <c r="I21" s="85"/>
      <c r="J21" s="1"/>
      <c r="K21" s="7"/>
    </row>
    <row r="22" spans="1:11" ht="23.25" customHeight="1" x14ac:dyDescent="0.65">
      <c r="A22" s="6"/>
      <c r="B22" s="9"/>
      <c r="C22" s="81"/>
      <c r="D22" s="1"/>
      <c r="E22" s="18"/>
      <c r="F22" s="47">
        <f>SUM(F4:F21)</f>
        <v>2595</v>
      </c>
      <c r="G22" s="106"/>
      <c r="H22" s="1"/>
      <c r="I22" s="1"/>
      <c r="J22" s="1"/>
    </row>
    <row r="23" spans="1:11" x14ac:dyDescent="0.25">
      <c r="E23" s="19"/>
      <c r="F23" s="19"/>
    </row>
    <row r="24" spans="1:11" x14ac:dyDescent="0.25">
      <c r="E24" s="19"/>
      <c r="F24" s="19"/>
    </row>
  </sheetData>
  <pageMargins left="0.25" right="0.25" top="0.25" bottom="0.5" header="0.3" footer="0.3"/>
  <pageSetup paperSize="9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workbookViewId="0">
      <selection activeCell="B14" sqref="B14"/>
    </sheetView>
  </sheetViews>
  <sheetFormatPr defaultRowHeight="15" x14ac:dyDescent="0.25"/>
  <cols>
    <col min="1" max="1" width="4.7109375" customWidth="1"/>
    <col min="2" max="2" width="13.5703125" customWidth="1"/>
    <col min="3" max="3" width="16.85546875" customWidth="1"/>
    <col min="4" max="4" width="27.5703125" customWidth="1"/>
    <col min="5" max="5" width="11.7109375" customWidth="1"/>
    <col min="6" max="6" width="13.7109375" customWidth="1"/>
    <col min="7" max="7" width="6.85546875" style="8" customWidth="1"/>
    <col min="8" max="8" width="37.28515625" customWidth="1"/>
    <col min="9" max="9" width="11" customWidth="1"/>
    <col min="10" max="10" width="3.7109375" hidden="1" customWidth="1"/>
  </cols>
  <sheetData>
    <row r="1" spans="1:11" ht="26.25" customHeight="1" x14ac:dyDescent="0.6">
      <c r="A1" s="65"/>
      <c r="B1" s="65" t="s">
        <v>161</v>
      </c>
      <c r="C1" s="65"/>
      <c r="D1" s="65"/>
      <c r="E1" s="65"/>
      <c r="F1" s="66"/>
      <c r="G1" s="79"/>
      <c r="H1" s="66"/>
      <c r="I1" s="65"/>
      <c r="J1" s="65"/>
      <c r="K1" s="65"/>
    </row>
    <row r="2" spans="1:11" ht="0.75" hidden="1" customHeight="1" x14ac:dyDescent="0.6">
      <c r="A2" s="65"/>
      <c r="B2" s="65"/>
      <c r="C2" s="65"/>
      <c r="D2" s="65"/>
      <c r="E2" s="65"/>
      <c r="F2" s="65"/>
      <c r="G2" s="79"/>
      <c r="H2" s="65"/>
      <c r="I2" s="65"/>
      <c r="J2" s="65"/>
      <c r="K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7" t="s">
        <v>152</v>
      </c>
      <c r="H3" s="68" t="s">
        <v>1</v>
      </c>
      <c r="I3" s="68" t="s">
        <v>2</v>
      </c>
      <c r="J3" s="82"/>
      <c r="K3" s="70"/>
    </row>
    <row r="4" spans="1:11" ht="26.25" customHeight="1" x14ac:dyDescent="0.65">
      <c r="A4" s="17">
        <v>38</v>
      </c>
      <c r="B4" s="20" t="s">
        <v>138</v>
      </c>
      <c r="C4" s="26" t="s">
        <v>340</v>
      </c>
      <c r="D4" s="10" t="s">
        <v>341</v>
      </c>
      <c r="E4" s="10">
        <v>46001</v>
      </c>
      <c r="F4" s="41">
        <v>100</v>
      </c>
      <c r="G4" s="92"/>
      <c r="H4" s="39" t="s">
        <v>362</v>
      </c>
      <c r="I4" s="85"/>
      <c r="J4" s="1"/>
      <c r="K4" s="7"/>
    </row>
    <row r="5" spans="1:11" ht="26.25" customHeight="1" x14ac:dyDescent="0.65">
      <c r="A5" s="17">
        <v>39</v>
      </c>
      <c r="B5" s="38" t="s">
        <v>367</v>
      </c>
      <c r="C5" s="26" t="s">
        <v>368</v>
      </c>
      <c r="D5" s="10" t="s">
        <v>369</v>
      </c>
      <c r="E5" s="20">
        <v>45924</v>
      </c>
      <c r="F5" s="50">
        <v>100</v>
      </c>
      <c r="G5" s="92"/>
      <c r="H5" s="39" t="s">
        <v>630</v>
      </c>
      <c r="I5" s="85"/>
      <c r="J5" s="1"/>
      <c r="K5" s="7"/>
    </row>
    <row r="6" spans="1:11" ht="26.25" customHeight="1" x14ac:dyDescent="0.65">
      <c r="A6" s="17">
        <v>40</v>
      </c>
      <c r="B6" s="20" t="s">
        <v>417</v>
      </c>
      <c r="C6" s="26" t="s">
        <v>418</v>
      </c>
      <c r="D6" s="10" t="s">
        <v>419</v>
      </c>
      <c r="E6" s="20">
        <v>46001</v>
      </c>
      <c r="F6" s="41">
        <v>100</v>
      </c>
      <c r="G6" s="107"/>
      <c r="H6" s="39"/>
      <c r="I6" s="85"/>
      <c r="J6" s="1"/>
      <c r="K6" s="7"/>
    </row>
    <row r="7" spans="1:11" ht="26.25" customHeight="1" x14ac:dyDescent="0.65">
      <c r="A7" s="17">
        <v>41</v>
      </c>
      <c r="B7" s="10" t="s">
        <v>420</v>
      </c>
      <c r="C7" s="26" t="s">
        <v>421</v>
      </c>
      <c r="D7" s="10" t="s">
        <v>422</v>
      </c>
      <c r="E7" s="10">
        <v>46006</v>
      </c>
      <c r="F7" s="40">
        <v>100</v>
      </c>
      <c r="G7" s="107"/>
      <c r="H7" s="39" t="s">
        <v>470</v>
      </c>
      <c r="I7" s="85"/>
      <c r="J7" s="1"/>
      <c r="K7" s="7"/>
    </row>
    <row r="8" spans="1:11" ht="26.25" customHeight="1" x14ac:dyDescent="0.65">
      <c r="A8" s="17">
        <v>42</v>
      </c>
      <c r="B8" s="20" t="s">
        <v>423</v>
      </c>
      <c r="C8" s="26" t="s">
        <v>424</v>
      </c>
      <c r="D8" s="10" t="s">
        <v>425</v>
      </c>
      <c r="E8" s="20">
        <v>46005</v>
      </c>
      <c r="F8" s="41">
        <v>100</v>
      </c>
      <c r="G8" s="107"/>
      <c r="H8" s="39"/>
      <c r="I8" s="85"/>
      <c r="J8" s="1"/>
      <c r="K8" s="7"/>
    </row>
    <row r="9" spans="1:11" ht="26.25" customHeight="1" x14ac:dyDescent="0.65">
      <c r="A9" s="17">
        <v>43</v>
      </c>
      <c r="B9" s="38" t="s">
        <v>426</v>
      </c>
      <c r="C9" s="26" t="s">
        <v>427</v>
      </c>
      <c r="D9" s="10" t="s">
        <v>428</v>
      </c>
      <c r="E9" s="10">
        <v>45986</v>
      </c>
      <c r="F9" s="50">
        <v>100</v>
      </c>
      <c r="G9" s="107">
        <v>100</v>
      </c>
      <c r="H9" s="39" t="s">
        <v>698</v>
      </c>
      <c r="I9" s="85"/>
      <c r="J9" s="1"/>
      <c r="K9" s="7"/>
    </row>
    <row r="10" spans="1:11" ht="26.25" customHeight="1" x14ac:dyDescent="0.65">
      <c r="A10" s="17">
        <v>44</v>
      </c>
      <c r="B10" s="20" t="s">
        <v>626</v>
      </c>
      <c r="C10" s="26" t="s">
        <v>627</v>
      </c>
      <c r="D10" s="10" t="s">
        <v>628</v>
      </c>
      <c r="E10" s="20">
        <v>46006</v>
      </c>
      <c r="F10" s="41">
        <v>100</v>
      </c>
      <c r="G10" s="4"/>
      <c r="H10" s="39"/>
      <c r="I10" s="85"/>
      <c r="J10" s="1"/>
      <c r="K10" s="7"/>
    </row>
    <row r="11" spans="1:11" ht="26.25" customHeight="1" x14ac:dyDescent="0.65">
      <c r="A11" s="17">
        <v>45</v>
      </c>
      <c r="B11" s="20" t="s">
        <v>472</v>
      </c>
      <c r="C11" s="87" t="s">
        <v>568</v>
      </c>
      <c r="D11" s="10" t="s">
        <v>474</v>
      </c>
      <c r="E11" s="20">
        <v>46009</v>
      </c>
      <c r="F11" s="41">
        <v>100</v>
      </c>
      <c r="G11" s="107"/>
      <c r="H11" s="39" t="s">
        <v>475</v>
      </c>
      <c r="I11" s="85"/>
      <c r="J11" s="1"/>
      <c r="K11" s="7"/>
    </row>
    <row r="12" spans="1:11" ht="26.25" customHeight="1" x14ac:dyDescent="0.65">
      <c r="A12" s="17">
        <v>46</v>
      </c>
      <c r="B12" s="20" t="s">
        <v>473</v>
      </c>
      <c r="C12" s="26" t="s">
        <v>476</v>
      </c>
      <c r="D12" s="10" t="s">
        <v>477</v>
      </c>
      <c r="E12" s="20">
        <v>46009</v>
      </c>
      <c r="F12" s="41">
        <v>100</v>
      </c>
      <c r="G12" s="108"/>
      <c r="H12" s="39" t="s">
        <v>478</v>
      </c>
      <c r="I12" s="85"/>
      <c r="J12" s="1"/>
      <c r="K12" s="7"/>
    </row>
    <row r="13" spans="1:11" ht="26.25" customHeight="1" x14ac:dyDescent="0.65">
      <c r="A13" s="17">
        <v>47</v>
      </c>
      <c r="B13" s="20" t="s">
        <v>479</v>
      </c>
      <c r="C13" s="26" t="s">
        <v>480</v>
      </c>
      <c r="D13" s="18" t="s">
        <v>481</v>
      </c>
      <c r="E13" s="20">
        <v>46003</v>
      </c>
      <c r="F13" s="41">
        <v>100</v>
      </c>
      <c r="G13" s="107"/>
      <c r="H13" s="93"/>
      <c r="I13" s="85"/>
      <c r="J13" s="1"/>
      <c r="K13" s="7"/>
    </row>
    <row r="14" spans="1:11" ht="26.25" customHeight="1" x14ac:dyDescent="0.65">
      <c r="A14" s="17">
        <v>48</v>
      </c>
      <c r="B14" s="38" t="s">
        <v>471</v>
      </c>
      <c r="C14" s="26" t="s">
        <v>482</v>
      </c>
      <c r="D14" s="18" t="s">
        <v>483</v>
      </c>
      <c r="E14" s="20">
        <v>45973</v>
      </c>
      <c r="F14" s="50">
        <v>100</v>
      </c>
      <c r="G14" s="107"/>
      <c r="H14" s="39" t="s">
        <v>751</v>
      </c>
      <c r="I14" s="85"/>
      <c r="J14" s="1"/>
      <c r="K14" s="7"/>
    </row>
    <row r="15" spans="1:11" ht="26.25" customHeight="1" x14ac:dyDescent="0.65">
      <c r="A15" s="17">
        <v>49</v>
      </c>
      <c r="B15" s="20" t="s">
        <v>455</v>
      </c>
      <c r="C15" s="26" t="s">
        <v>716</v>
      </c>
      <c r="D15" s="10" t="s">
        <v>717</v>
      </c>
      <c r="E15" s="10">
        <v>46003</v>
      </c>
      <c r="F15" s="40">
        <v>100</v>
      </c>
      <c r="G15" s="107"/>
      <c r="H15" s="90"/>
      <c r="I15" s="85"/>
      <c r="J15" s="1"/>
      <c r="K15" s="7"/>
    </row>
    <row r="16" spans="1:11" ht="26.25" customHeight="1" x14ac:dyDescent="0.65">
      <c r="A16" s="17">
        <v>50</v>
      </c>
      <c r="B16" s="20" t="s">
        <v>501</v>
      </c>
      <c r="C16" s="26" t="s">
        <v>502</v>
      </c>
      <c r="D16" s="18" t="s">
        <v>503</v>
      </c>
      <c r="E16" s="20">
        <v>45999</v>
      </c>
      <c r="F16" s="41">
        <v>100</v>
      </c>
      <c r="G16" s="107"/>
      <c r="H16" s="39"/>
      <c r="I16" s="85"/>
      <c r="J16" s="1"/>
      <c r="K16" s="7"/>
    </row>
    <row r="17" spans="1:11" ht="26.25" customHeight="1" x14ac:dyDescent="0.65">
      <c r="A17" s="17">
        <v>51</v>
      </c>
      <c r="B17" s="20" t="s">
        <v>504</v>
      </c>
      <c r="C17" s="26" t="s">
        <v>505</v>
      </c>
      <c r="D17" s="17" t="s">
        <v>506</v>
      </c>
      <c r="E17" s="20">
        <v>45987</v>
      </c>
      <c r="F17" s="41">
        <v>100</v>
      </c>
      <c r="G17" s="107"/>
      <c r="H17" s="39"/>
      <c r="I17" s="85"/>
      <c r="J17" s="1"/>
      <c r="K17" s="7"/>
    </row>
    <row r="18" spans="1:11" ht="26.25" customHeight="1" x14ac:dyDescent="0.65">
      <c r="A18" s="17">
        <v>52</v>
      </c>
      <c r="B18" s="20" t="s">
        <v>507</v>
      </c>
      <c r="C18" s="26" t="s">
        <v>508</v>
      </c>
      <c r="D18" s="18" t="s">
        <v>509</v>
      </c>
      <c r="E18" s="20">
        <v>46001</v>
      </c>
      <c r="F18" s="41">
        <v>300</v>
      </c>
      <c r="G18" s="107"/>
      <c r="H18" s="39" t="s">
        <v>534</v>
      </c>
      <c r="I18" s="85"/>
      <c r="J18" s="1"/>
      <c r="K18" s="7"/>
    </row>
    <row r="19" spans="1:11" ht="26.25" customHeight="1" x14ac:dyDescent="0.65">
      <c r="A19" s="17">
        <v>53</v>
      </c>
      <c r="B19" s="10" t="s">
        <v>632</v>
      </c>
      <c r="C19" s="26" t="s">
        <v>633</v>
      </c>
      <c r="D19" s="18" t="s">
        <v>634</v>
      </c>
      <c r="E19" s="10">
        <v>45996</v>
      </c>
      <c r="F19" s="41">
        <v>200</v>
      </c>
      <c r="G19" s="107"/>
      <c r="H19" s="39"/>
      <c r="I19" s="85"/>
      <c r="J19" s="1"/>
      <c r="K19" s="7"/>
    </row>
    <row r="20" spans="1:11" ht="26.25" customHeight="1" x14ac:dyDescent="0.65">
      <c r="A20" s="17">
        <v>54</v>
      </c>
      <c r="B20" s="10" t="s">
        <v>510</v>
      </c>
      <c r="C20" s="26" t="s">
        <v>511</v>
      </c>
      <c r="D20" s="10" t="s">
        <v>512</v>
      </c>
      <c r="E20" s="10">
        <v>45996</v>
      </c>
      <c r="F20" s="41">
        <v>200</v>
      </c>
      <c r="G20" s="107"/>
      <c r="H20" s="39" t="s">
        <v>635</v>
      </c>
      <c r="I20" s="85"/>
      <c r="J20" s="1"/>
      <c r="K20" s="7"/>
    </row>
    <row r="21" spans="1:11" ht="26.25" customHeight="1" x14ac:dyDescent="0.65">
      <c r="A21" s="17">
        <v>55</v>
      </c>
      <c r="B21" s="10" t="s">
        <v>519</v>
      </c>
      <c r="C21" s="26" t="s">
        <v>643</v>
      </c>
      <c r="D21" s="10" t="s">
        <v>644</v>
      </c>
      <c r="E21" s="10">
        <v>45998</v>
      </c>
      <c r="F21" s="41">
        <v>100</v>
      </c>
      <c r="G21" s="107"/>
      <c r="H21" s="90" t="s">
        <v>648</v>
      </c>
      <c r="I21" s="1"/>
      <c r="J21" s="1"/>
      <c r="K21" s="7"/>
    </row>
    <row r="22" spans="1:11" ht="23.25" customHeight="1" x14ac:dyDescent="0.25">
      <c r="A22" s="6"/>
      <c r="B22" s="61"/>
      <c r="C22" s="9"/>
      <c r="D22" s="18"/>
      <c r="E22" s="18"/>
      <c r="F22" s="47">
        <f>SUM(F4:F21)</f>
        <v>2200</v>
      </c>
      <c r="G22" s="108"/>
      <c r="H22" s="1"/>
      <c r="I22" s="1"/>
      <c r="J22" s="1"/>
    </row>
    <row r="23" spans="1:11" x14ac:dyDescent="0.25">
      <c r="E23" s="19"/>
      <c r="F23" s="19"/>
    </row>
    <row r="24" spans="1:11" x14ac:dyDescent="0.25">
      <c r="E24" s="19"/>
      <c r="F24" s="19"/>
    </row>
  </sheetData>
  <pageMargins left="0.25" right="0.25" top="0.25" bottom="0.5" header="0.3" footer="0.3"/>
  <pageSetup paperSize="9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7938-F83A-45DB-95B6-B5DA77776E21}">
  <dimension ref="A1:K24"/>
  <sheetViews>
    <sheetView workbookViewId="0">
      <selection activeCell="D5" sqref="D5"/>
    </sheetView>
  </sheetViews>
  <sheetFormatPr defaultRowHeight="15" x14ac:dyDescent="0.25"/>
  <cols>
    <col min="1" max="1" width="4.7109375" customWidth="1"/>
    <col min="2" max="2" width="13.5703125" customWidth="1"/>
    <col min="3" max="3" width="16.85546875" customWidth="1"/>
    <col min="4" max="4" width="27.5703125" customWidth="1"/>
    <col min="5" max="5" width="11.7109375" customWidth="1"/>
    <col min="6" max="6" width="12.42578125" customWidth="1"/>
    <col min="7" max="7" width="6.85546875" style="8" customWidth="1"/>
    <col min="8" max="8" width="37.28515625" customWidth="1"/>
    <col min="9" max="9" width="10.7109375" customWidth="1"/>
    <col min="10" max="10" width="3.7109375" hidden="1" customWidth="1"/>
  </cols>
  <sheetData>
    <row r="1" spans="1:11" ht="26.25" customHeight="1" x14ac:dyDescent="0.6">
      <c r="A1" s="65"/>
      <c r="B1" s="65" t="s">
        <v>749</v>
      </c>
      <c r="C1" s="65"/>
      <c r="D1" s="65"/>
      <c r="E1" s="65"/>
      <c r="F1" s="66"/>
      <c r="G1" s="79"/>
      <c r="H1" s="66"/>
      <c r="I1" s="65"/>
      <c r="J1" s="65"/>
      <c r="K1" s="65"/>
    </row>
    <row r="2" spans="1:11" ht="0.75" hidden="1" customHeight="1" x14ac:dyDescent="0.6">
      <c r="A2" s="65"/>
      <c r="B2" s="65"/>
      <c r="C2" s="65"/>
      <c r="D2" s="65"/>
      <c r="E2" s="65"/>
      <c r="F2" s="65"/>
      <c r="G2" s="79"/>
      <c r="H2" s="65"/>
      <c r="I2" s="65"/>
      <c r="J2" s="65"/>
      <c r="K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7" t="s">
        <v>4</v>
      </c>
      <c r="F3" s="67" t="s">
        <v>593</v>
      </c>
      <c r="G3" s="67" t="s">
        <v>152</v>
      </c>
      <c r="H3" s="68" t="s">
        <v>1</v>
      </c>
      <c r="I3" s="68" t="s">
        <v>2</v>
      </c>
      <c r="J3" s="82"/>
      <c r="K3" s="70"/>
    </row>
    <row r="4" spans="1:11" ht="26.25" customHeight="1" x14ac:dyDescent="0.65">
      <c r="A4" s="17">
        <v>56</v>
      </c>
      <c r="B4" s="20" t="s">
        <v>645</v>
      </c>
      <c r="C4" s="69" t="s">
        <v>646</v>
      </c>
      <c r="D4" s="20" t="s">
        <v>647</v>
      </c>
      <c r="E4" s="20">
        <v>46011</v>
      </c>
      <c r="F4" s="41">
        <v>100</v>
      </c>
      <c r="G4" s="109"/>
      <c r="H4" s="90" t="s">
        <v>648</v>
      </c>
      <c r="I4" s="85"/>
      <c r="J4" s="1"/>
      <c r="K4" s="7"/>
    </row>
    <row r="5" spans="1:11" ht="26.25" customHeight="1" x14ac:dyDescent="0.65">
      <c r="A5" s="17">
        <v>57</v>
      </c>
      <c r="B5" s="38" t="s">
        <v>718</v>
      </c>
      <c r="C5" s="69" t="s">
        <v>719</v>
      </c>
      <c r="D5" s="20" t="s">
        <v>720</v>
      </c>
      <c r="E5" s="20">
        <v>45981</v>
      </c>
      <c r="F5" s="41">
        <v>150</v>
      </c>
      <c r="G5" s="109"/>
      <c r="H5" s="34" t="s">
        <v>752</v>
      </c>
      <c r="I5" s="85"/>
      <c r="J5" s="1"/>
      <c r="K5" s="7"/>
    </row>
    <row r="6" spans="1:11" ht="26.25" customHeight="1" x14ac:dyDescent="0.65">
      <c r="A6" s="17">
        <v>58</v>
      </c>
      <c r="B6" s="20" t="s">
        <v>695</v>
      </c>
      <c r="C6" s="69" t="s">
        <v>721</v>
      </c>
      <c r="D6" s="20" t="s">
        <v>722</v>
      </c>
      <c r="E6" s="20">
        <v>46006</v>
      </c>
      <c r="F6" s="41">
        <v>200</v>
      </c>
      <c r="G6" s="110"/>
      <c r="H6" s="90" t="s">
        <v>723</v>
      </c>
      <c r="I6" s="85"/>
      <c r="J6" s="1"/>
      <c r="K6" s="7"/>
    </row>
    <row r="7" spans="1:11" ht="26.25" customHeight="1" x14ac:dyDescent="0.65">
      <c r="A7" s="17">
        <v>59</v>
      </c>
      <c r="B7" s="20" t="s">
        <v>227</v>
      </c>
      <c r="C7" s="26" t="s">
        <v>228</v>
      </c>
      <c r="D7" s="10" t="s">
        <v>229</v>
      </c>
      <c r="E7" s="30">
        <v>45655</v>
      </c>
      <c r="F7" s="40"/>
      <c r="G7" s="131"/>
      <c r="H7" s="39" t="s">
        <v>310</v>
      </c>
      <c r="I7" s="85"/>
      <c r="J7" s="1"/>
      <c r="K7" s="7"/>
    </row>
    <row r="8" spans="1:11" ht="26.25" customHeight="1" x14ac:dyDescent="0.65">
      <c r="A8" s="17">
        <v>60</v>
      </c>
      <c r="B8" s="20"/>
      <c r="C8" s="69"/>
      <c r="D8" s="20"/>
      <c r="E8" s="20"/>
      <c r="F8" s="41"/>
      <c r="G8" s="110"/>
      <c r="H8" s="90"/>
      <c r="I8" s="85"/>
      <c r="J8" s="1"/>
      <c r="K8" s="7"/>
    </row>
    <row r="9" spans="1:11" ht="26.25" customHeight="1" x14ac:dyDescent="0.65">
      <c r="A9" s="17">
        <v>61</v>
      </c>
      <c r="B9" s="20"/>
      <c r="C9" s="69"/>
      <c r="D9" s="20"/>
      <c r="E9" s="20"/>
      <c r="F9" s="41"/>
      <c r="G9" s="110"/>
      <c r="H9" s="90"/>
      <c r="I9" s="85"/>
      <c r="J9" s="1"/>
      <c r="K9" s="7"/>
    </row>
    <row r="10" spans="1:11" ht="26.25" customHeight="1" x14ac:dyDescent="0.65">
      <c r="A10" s="17">
        <v>62</v>
      </c>
      <c r="B10" s="20"/>
      <c r="C10" s="69"/>
      <c r="D10" s="20"/>
      <c r="E10" s="20"/>
      <c r="F10" s="41"/>
      <c r="G10" s="21"/>
      <c r="H10" s="90"/>
      <c r="I10" s="85"/>
      <c r="J10" s="1"/>
      <c r="K10" s="7"/>
    </row>
    <row r="11" spans="1:11" ht="26.25" customHeight="1" x14ac:dyDescent="0.65">
      <c r="A11" s="17">
        <v>63</v>
      </c>
      <c r="B11" s="20"/>
      <c r="C11" s="99"/>
      <c r="D11" s="20"/>
      <c r="E11" s="20"/>
      <c r="F11" s="41"/>
      <c r="G11" s="110"/>
      <c r="H11" s="90"/>
      <c r="I11" s="85"/>
      <c r="J11" s="1"/>
      <c r="K11" s="7"/>
    </row>
    <row r="12" spans="1:11" ht="26.25" customHeight="1" x14ac:dyDescent="0.65">
      <c r="A12" s="17">
        <v>64</v>
      </c>
      <c r="B12" s="20"/>
      <c r="C12" s="69"/>
      <c r="D12" s="20"/>
      <c r="E12" s="20"/>
      <c r="F12" s="41"/>
      <c r="G12" s="111"/>
      <c r="H12" s="90"/>
      <c r="I12" s="85"/>
      <c r="J12" s="1"/>
      <c r="K12" s="7"/>
    </row>
    <row r="13" spans="1:11" ht="26.25" customHeight="1" x14ac:dyDescent="0.65">
      <c r="A13" s="17">
        <v>65</v>
      </c>
      <c r="B13" s="20"/>
      <c r="C13" s="69"/>
      <c r="D13" s="112"/>
      <c r="E13" s="20"/>
      <c r="F13" s="41"/>
      <c r="G13" s="110"/>
      <c r="H13" s="101"/>
      <c r="I13" s="85"/>
      <c r="J13" s="1"/>
      <c r="K13" s="7"/>
    </row>
    <row r="14" spans="1:11" ht="26.25" customHeight="1" x14ac:dyDescent="0.65">
      <c r="A14" s="17">
        <v>66</v>
      </c>
      <c r="B14" s="20"/>
      <c r="C14" s="69"/>
      <c r="D14" s="112"/>
      <c r="E14" s="20"/>
      <c r="F14" s="41"/>
      <c r="G14" s="110"/>
      <c r="H14" s="101"/>
      <c r="I14" s="85"/>
      <c r="J14" s="1"/>
      <c r="K14" s="7"/>
    </row>
    <row r="15" spans="1:11" ht="26.25" customHeight="1" x14ac:dyDescent="0.65">
      <c r="A15" s="17">
        <v>67</v>
      </c>
      <c r="B15" s="20"/>
      <c r="C15" s="69"/>
      <c r="D15" s="20"/>
      <c r="E15" s="20"/>
      <c r="F15" s="41"/>
      <c r="G15" s="110"/>
      <c r="H15" s="90"/>
      <c r="I15" s="85"/>
      <c r="J15" s="1"/>
      <c r="K15" s="7"/>
    </row>
    <row r="16" spans="1:11" ht="26.25" customHeight="1" x14ac:dyDescent="0.65">
      <c r="A16" s="17">
        <v>68</v>
      </c>
      <c r="B16" s="20"/>
      <c r="C16" s="69"/>
      <c r="D16" s="112"/>
      <c r="E16" s="20"/>
      <c r="F16" s="41"/>
      <c r="G16" s="110"/>
      <c r="H16" s="90"/>
      <c r="I16" s="85"/>
      <c r="J16" s="1"/>
      <c r="K16" s="7"/>
    </row>
    <row r="17" spans="1:11" ht="26.25" customHeight="1" x14ac:dyDescent="0.65">
      <c r="A17" s="17">
        <v>69</v>
      </c>
      <c r="B17" s="20"/>
      <c r="C17" s="69"/>
      <c r="D17" s="56"/>
      <c r="E17" s="20"/>
      <c r="F17" s="41"/>
      <c r="G17" s="110"/>
      <c r="H17" s="90"/>
      <c r="I17" s="85"/>
      <c r="J17" s="1"/>
      <c r="K17" s="7"/>
    </row>
    <row r="18" spans="1:11" ht="26.25" customHeight="1" x14ac:dyDescent="0.65">
      <c r="A18" s="17">
        <v>70</v>
      </c>
      <c r="B18" s="20"/>
      <c r="C18" s="69"/>
      <c r="D18" s="112"/>
      <c r="E18" s="20"/>
      <c r="F18" s="41"/>
      <c r="G18" s="110"/>
      <c r="H18" s="90"/>
      <c r="I18" s="85"/>
      <c r="J18" s="1"/>
      <c r="K18" s="7"/>
    </row>
    <row r="19" spans="1:11" ht="26.25" customHeight="1" x14ac:dyDescent="0.65">
      <c r="A19" s="17">
        <v>71</v>
      </c>
      <c r="B19" s="20"/>
      <c r="C19" s="69"/>
      <c r="D19" s="112"/>
      <c r="E19" s="20"/>
      <c r="F19" s="41"/>
      <c r="G19" s="110"/>
      <c r="H19" s="90"/>
      <c r="I19" s="85"/>
      <c r="J19" s="1"/>
      <c r="K19" s="7"/>
    </row>
    <row r="20" spans="1:11" ht="26.25" customHeight="1" x14ac:dyDescent="0.65">
      <c r="A20" s="17">
        <v>72</v>
      </c>
      <c r="B20" s="20"/>
      <c r="C20" s="69"/>
      <c r="D20" s="20"/>
      <c r="E20" s="20"/>
      <c r="F20" s="41"/>
      <c r="G20" s="110"/>
      <c r="H20" s="90"/>
      <c r="I20" s="85"/>
      <c r="J20" s="1"/>
      <c r="K20" s="7"/>
    </row>
    <row r="21" spans="1:11" ht="26.25" customHeight="1" x14ac:dyDescent="0.65">
      <c r="A21" s="17">
        <v>73</v>
      </c>
      <c r="B21" s="20"/>
      <c r="C21" s="69"/>
      <c r="D21" s="20"/>
      <c r="E21" s="20"/>
      <c r="F21" s="41"/>
      <c r="G21" s="110"/>
      <c r="H21" s="113"/>
      <c r="I21" s="1"/>
      <c r="J21" s="1"/>
      <c r="K21" s="7"/>
    </row>
    <row r="22" spans="1:11" ht="23.25" customHeight="1" x14ac:dyDescent="0.25">
      <c r="A22" s="6"/>
      <c r="B22" s="61"/>
      <c r="C22" s="9"/>
      <c r="D22" s="18"/>
      <c r="E22" s="18"/>
      <c r="F22" s="47">
        <f>SUM(F4:F21)</f>
        <v>450</v>
      </c>
      <c r="G22" s="108"/>
      <c r="H22" s="1"/>
      <c r="I22" s="1"/>
      <c r="J22" s="1"/>
    </row>
    <row r="23" spans="1:11" x14ac:dyDescent="0.25">
      <c r="E23" s="19"/>
      <c r="F23" s="19"/>
    </row>
    <row r="24" spans="1:11" x14ac:dyDescent="0.25">
      <c r="E24" s="19"/>
      <c r="F24" s="19"/>
    </row>
  </sheetData>
  <pageMargins left="0.25" right="0.25" top="0.25" bottom="0.5" header="0.3" footer="0.3"/>
  <pageSetup paperSize="9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topLeftCell="A13" workbookViewId="0">
      <selection activeCell="B18" sqref="B18"/>
    </sheetView>
  </sheetViews>
  <sheetFormatPr defaultRowHeight="15" x14ac:dyDescent="0.25"/>
  <cols>
    <col min="1" max="1" width="4.7109375" customWidth="1"/>
    <col min="2" max="2" width="13.7109375" customWidth="1"/>
    <col min="3" max="3" width="16.140625" customWidth="1"/>
    <col min="4" max="4" width="24.140625" customWidth="1"/>
    <col min="5" max="5" width="13.5703125" style="3" customWidth="1"/>
    <col min="6" max="6" width="13.5703125" style="8" customWidth="1"/>
    <col min="7" max="7" width="6.85546875" style="8" customWidth="1"/>
    <col min="8" max="8" width="36.5703125" customWidth="1"/>
    <col min="9" max="9" width="11.140625" customWidth="1"/>
  </cols>
  <sheetData>
    <row r="1" spans="1:11" ht="24.75" customHeight="1" x14ac:dyDescent="0.6">
      <c r="A1" s="65"/>
      <c r="B1" s="65" t="s">
        <v>732</v>
      </c>
      <c r="C1" s="65"/>
      <c r="D1" s="65"/>
      <c r="E1" s="66"/>
      <c r="F1" s="79"/>
      <c r="G1" s="79"/>
      <c r="H1" s="66"/>
      <c r="I1" s="65"/>
      <c r="J1" s="65"/>
    </row>
    <row r="2" spans="1:11" ht="0.75" hidden="1" customHeight="1" x14ac:dyDescent="0.6">
      <c r="A2" s="65"/>
      <c r="B2" s="65"/>
      <c r="C2" s="65"/>
      <c r="D2" s="65"/>
      <c r="E2" s="66"/>
      <c r="F2" s="79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83" t="s">
        <v>593</v>
      </c>
      <c r="G3" s="67" t="s">
        <v>152</v>
      </c>
      <c r="H3" s="68" t="s">
        <v>1</v>
      </c>
      <c r="I3" s="68" t="s">
        <v>2</v>
      </c>
      <c r="J3" s="84"/>
      <c r="K3" s="27"/>
    </row>
    <row r="4" spans="1:11" ht="26.25" customHeight="1" x14ac:dyDescent="0.65">
      <c r="A4" s="4">
        <v>1</v>
      </c>
      <c r="B4" s="10" t="s">
        <v>317</v>
      </c>
      <c r="C4" s="26" t="s">
        <v>318</v>
      </c>
      <c r="D4" s="16" t="s">
        <v>319</v>
      </c>
      <c r="E4" s="10">
        <v>46013</v>
      </c>
      <c r="F4" s="45">
        <v>250</v>
      </c>
      <c r="G4" s="107"/>
      <c r="H4" s="39" t="s">
        <v>320</v>
      </c>
      <c r="I4" s="1"/>
      <c r="J4" s="7"/>
    </row>
    <row r="5" spans="1:11" ht="26.25" customHeight="1" x14ac:dyDescent="0.65">
      <c r="A5" s="4">
        <v>2</v>
      </c>
      <c r="B5" s="38" t="s">
        <v>410</v>
      </c>
      <c r="C5" s="26" t="s">
        <v>246</v>
      </c>
      <c r="D5" s="10" t="s">
        <v>247</v>
      </c>
      <c r="E5" s="10">
        <v>45976</v>
      </c>
      <c r="F5" s="45">
        <v>200</v>
      </c>
      <c r="G5" s="107"/>
      <c r="H5" s="87" t="s">
        <v>757</v>
      </c>
      <c r="I5" s="1"/>
      <c r="J5" s="7"/>
    </row>
    <row r="6" spans="1:11" ht="26.25" customHeight="1" x14ac:dyDescent="0.65">
      <c r="A6" s="4">
        <v>3</v>
      </c>
      <c r="B6" s="20" t="s">
        <v>411</v>
      </c>
      <c r="C6" s="26" t="s">
        <v>412</v>
      </c>
      <c r="D6" s="10" t="s">
        <v>413</v>
      </c>
      <c r="E6" s="10">
        <v>46006</v>
      </c>
      <c r="F6" s="45">
        <v>100</v>
      </c>
      <c r="G6" s="107"/>
      <c r="H6" s="39"/>
      <c r="I6" s="1"/>
      <c r="J6" s="7"/>
    </row>
    <row r="7" spans="1:11" ht="26.25" customHeight="1" x14ac:dyDescent="0.65">
      <c r="A7" s="4">
        <v>4</v>
      </c>
      <c r="B7" s="10" t="s">
        <v>296</v>
      </c>
      <c r="C7" s="26" t="s">
        <v>297</v>
      </c>
      <c r="D7" s="16" t="s">
        <v>298</v>
      </c>
      <c r="E7" s="10">
        <v>46017</v>
      </c>
      <c r="F7" s="45">
        <v>100</v>
      </c>
      <c r="G7" s="107"/>
      <c r="H7" s="39" t="s">
        <v>361</v>
      </c>
      <c r="I7" s="1"/>
      <c r="J7" s="7"/>
    </row>
    <row r="8" spans="1:11" ht="26.25" customHeight="1" x14ac:dyDescent="0.65">
      <c r="A8" s="4">
        <v>5</v>
      </c>
      <c r="B8" s="10" t="s">
        <v>293</v>
      </c>
      <c r="C8" s="26" t="s">
        <v>294</v>
      </c>
      <c r="D8" s="16" t="s">
        <v>295</v>
      </c>
      <c r="E8" s="10">
        <v>46008</v>
      </c>
      <c r="F8" s="45">
        <v>100</v>
      </c>
      <c r="G8" s="107"/>
      <c r="H8" s="39" t="s">
        <v>414</v>
      </c>
      <c r="I8" s="1"/>
      <c r="J8" s="7"/>
    </row>
    <row r="9" spans="1:11" ht="26.25" customHeight="1" x14ac:dyDescent="0.65">
      <c r="A9" s="4">
        <v>6</v>
      </c>
      <c r="B9" s="20" t="s">
        <v>299</v>
      </c>
      <c r="C9" s="26" t="s">
        <v>484</v>
      </c>
      <c r="D9" s="10" t="s">
        <v>485</v>
      </c>
      <c r="E9" s="20">
        <v>46001</v>
      </c>
      <c r="F9" s="45">
        <v>200</v>
      </c>
      <c r="G9" s="107"/>
      <c r="H9" s="39" t="s">
        <v>486</v>
      </c>
      <c r="I9" s="1"/>
      <c r="J9" s="7"/>
    </row>
    <row r="10" spans="1:11" ht="26.25" customHeight="1" x14ac:dyDescent="0.65">
      <c r="A10" s="4">
        <v>7</v>
      </c>
      <c r="B10" s="10" t="s">
        <v>327</v>
      </c>
      <c r="C10" s="26" t="s">
        <v>328</v>
      </c>
      <c r="D10" s="10" t="s">
        <v>329</v>
      </c>
      <c r="E10" s="10">
        <v>46016</v>
      </c>
      <c r="F10" s="46">
        <v>100</v>
      </c>
      <c r="G10" s="107"/>
      <c r="H10" s="39" t="s">
        <v>573</v>
      </c>
      <c r="I10" s="1"/>
      <c r="J10" s="7"/>
    </row>
    <row r="11" spans="1:11" ht="26.25" customHeight="1" x14ac:dyDescent="0.65">
      <c r="A11" s="4">
        <v>8</v>
      </c>
      <c r="B11" s="10" t="s">
        <v>363</v>
      </c>
      <c r="C11" s="26" t="s">
        <v>364</v>
      </c>
      <c r="D11" s="10" t="s">
        <v>366</v>
      </c>
      <c r="E11" s="10">
        <v>45992</v>
      </c>
      <c r="F11" s="46">
        <v>100</v>
      </c>
      <c r="G11" s="107"/>
      <c r="H11" s="39" t="s">
        <v>365</v>
      </c>
      <c r="I11" s="10"/>
      <c r="J11" s="7"/>
    </row>
    <row r="12" spans="1:11" ht="26.25" customHeight="1" x14ac:dyDescent="0.65">
      <c r="A12" s="4">
        <v>9</v>
      </c>
      <c r="B12" s="38" t="s">
        <v>268</v>
      </c>
      <c r="C12" s="26" t="s">
        <v>269</v>
      </c>
      <c r="D12" s="10" t="s">
        <v>270</v>
      </c>
      <c r="E12" s="38">
        <v>45978</v>
      </c>
      <c r="F12" s="45">
        <v>100</v>
      </c>
      <c r="G12" s="107"/>
      <c r="H12" s="39" t="s">
        <v>724</v>
      </c>
      <c r="I12" s="1"/>
      <c r="J12" s="7"/>
    </row>
    <row r="13" spans="1:11" ht="26.25" customHeight="1" x14ac:dyDescent="0.65">
      <c r="A13" s="4">
        <v>10</v>
      </c>
      <c r="B13" s="10" t="s">
        <v>535</v>
      </c>
      <c r="C13" s="26" t="s">
        <v>536</v>
      </c>
      <c r="D13" s="10" t="s">
        <v>537</v>
      </c>
      <c r="E13" s="10">
        <v>46006</v>
      </c>
      <c r="F13" s="46">
        <v>200</v>
      </c>
      <c r="G13" s="107"/>
      <c r="H13" s="39" t="s">
        <v>538</v>
      </c>
      <c r="I13" s="1"/>
      <c r="J13" s="7"/>
    </row>
    <row r="14" spans="1:11" ht="26.25" customHeight="1" x14ac:dyDescent="0.65">
      <c r="A14" s="4">
        <v>11</v>
      </c>
      <c r="B14" s="30" t="s">
        <v>539</v>
      </c>
      <c r="C14" s="26" t="s">
        <v>540</v>
      </c>
      <c r="D14" s="10" t="s">
        <v>541</v>
      </c>
      <c r="E14" s="30">
        <v>46016</v>
      </c>
      <c r="F14" s="45">
        <v>100</v>
      </c>
      <c r="G14" s="107"/>
      <c r="H14" s="140" t="s">
        <v>725</v>
      </c>
      <c r="I14" s="1"/>
      <c r="J14" s="7"/>
    </row>
    <row r="15" spans="1:11" ht="26.25" customHeight="1" x14ac:dyDescent="0.65">
      <c r="A15" s="4">
        <v>12</v>
      </c>
      <c r="B15" s="10" t="s">
        <v>542</v>
      </c>
      <c r="C15" s="26" t="s">
        <v>543</v>
      </c>
      <c r="D15" s="10" t="s">
        <v>544</v>
      </c>
      <c r="E15" s="10">
        <v>46015</v>
      </c>
      <c r="F15" s="46">
        <v>100</v>
      </c>
      <c r="G15" s="107"/>
      <c r="H15" s="139" t="s">
        <v>726</v>
      </c>
      <c r="I15" s="1"/>
      <c r="J15" s="7"/>
    </row>
    <row r="16" spans="1:11" ht="26.25" customHeight="1" x14ac:dyDescent="0.65">
      <c r="A16" s="4">
        <v>13</v>
      </c>
      <c r="B16" s="38" t="s">
        <v>649</v>
      </c>
      <c r="C16" s="26" t="s">
        <v>650</v>
      </c>
      <c r="D16" s="10" t="s">
        <v>651</v>
      </c>
      <c r="E16" s="10">
        <v>45966</v>
      </c>
      <c r="F16" s="46">
        <v>100</v>
      </c>
      <c r="G16" s="107"/>
      <c r="H16" s="39" t="s">
        <v>652</v>
      </c>
      <c r="I16" s="1"/>
      <c r="J16" s="7"/>
    </row>
    <row r="17" spans="1:10" ht="26.25" customHeight="1" x14ac:dyDescent="0.65">
      <c r="A17" s="4">
        <v>14</v>
      </c>
      <c r="B17" s="10" t="s">
        <v>653</v>
      </c>
      <c r="C17" s="26" t="s">
        <v>654</v>
      </c>
      <c r="D17" s="10" t="s">
        <v>655</v>
      </c>
      <c r="E17" s="10">
        <v>46003</v>
      </c>
      <c r="F17" s="46">
        <v>100</v>
      </c>
      <c r="G17" s="107"/>
      <c r="H17" s="39" t="s">
        <v>727</v>
      </c>
      <c r="I17" s="1"/>
      <c r="J17" s="7"/>
    </row>
    <row r="18" spans="1:10" ht="26.25" customHeight="1" x14ac:dyDescent="0.65">
      <c r="A18" s="4">
        <v>15</v>
      </c>
      <c r="B18" s="38" t="s">
        <v>656</v>
      </c>
      <c r="C18" s="26" t="s">
        <v>657</v>
      </c>
      <c r="D18" s="10" t="s">
        <v>658</v>
      </c>
      <c r="E18" s="10">
        <v>45991</v>
      </c>
      <c r="F18" s="46">
        <v>100</v>
      </c>
      <c r="G18" s="107"/>
      <c r="H18" s="39" t="s">
        <v>698</v>
      </c>
      <c r="I18" s="1"/>
      <c r="J18" s="7"/>
    </row>
    <row r="19" spans="1:10" ht="26.25" customHeight="1" x14ac:dyDescent="0.65">
      <c r="A19" s="4">
        <v>16</v>
      </c>
      <c r="B19" s="38" t="s">
        <v>675</v>
      </c>
      <c r="C19" s="26" t="s">
        <v>676</v>
      </c>
      <c r="D19" s="10" t="s">
        <v>677</v>
      </c>
      <c r="E19" s="10">
        <v>45976</v>
      </c>
      <c r="F19" s="46">
        <v>100</v>
      </c>
      <c r="G19" s="107"/>
      <c r="H19" s="39"/>
      <c r="I19" s="1"/>
      <c r="J19" s="7"/>
    </row>
    <row r="20" spans="1:10" ht="26.25" customHeight="1" x14ac:dyDescent="0.65">
      <c r="A20" s="4">
        <v>17</v>
      </c>
      <c r="B20" s="30" t="s">
        <v>561</v>
      </c>
      <c r="C20" s="26" t="s">
        <v>681</v>
      </c>
      <c r="D20" s="10" t="s">
        <v>682</v>
      </c>
      <c r="E20" s="10">
        <v>45996</v>
      </c>
      <c r="F20" s="46">
        <v>100</v>
      </c>
      <c r="G20" s="107"/>
      <c r="H20" s="141" t="s">
        <v>728</v>
      </c>
      <c r="I20" s="1"/>
      <c r="J20" s="7"/>
    </row>
    <row r="21" spans="1:10" ht="26.25" customHeight="1" x14ac:dyDescent="0.65">
      <c r="A21" s="4">
        <v>18</v>
      </c>
      <c r="B21" s="38" t="s">
        <v>683</v>
      </c>
      <c r="C21" s="26" t="s">
        <v>684</v>
      </c>
      <c r="D21" s="10" t="s">
        <v>685</v>
      </c>
      <c r="E21" s="10">
        <v>45981</v>
      </c>
      <c r="F21" s="46">
        <v>150</v>
      </c>
      <c r="G21" s="107"/>
      <c r="H21" s="31"/>
      <c r="I21" s="1"/>
      <c r="J21" s="7"/>
    </row>
    <row r="22" spans="1:10" ht="26.25" customHeight="1" x14ac:dyDescent="0.65">
      <c r="A22" s="4">
        <v>19</v>
      </c>
      <c r="B22" s="10" t="s">
        <v>376</v>
      </c>
      <c r="C22" s="26" t="s">
        <v>729</v>
      </c>
      <c r="D22" s="10" t="s">
        <v>730</v>
      </c>
      <c r="E22" s="10">
        <v>46013</v>
      </c>
      <c r="F22" s="46">
        <v>100</v>
      </c>
      <c r="G22" s="107"/>
      <c r="H22" s="142" t="s">
        <v>731</v>
      </c>
      <c r="I22" s="1"/>
      <c r="J22" s="7"/>
    </row>
    <row r="23" spans="1:10" ht="27.75" customHeight="1" x14ac:dyDescent="0.6">
      <c r="A23" s="6"/>
      <c r="B23" s="61"/>
      <c r="C23" s="9"/>
      <c r="D23" s="18"/>
      <c r="E23" s="17"/>
      <c r="F23" s="48">
        <f>SUM(F4:F22)</f>
        <v>2400</v>
      </c>
      <c r="G23" s="108"/>
      <c r="H23" s="51"/>
      <c r="I23" s="1"/>
    </row>
  </sheetData>
  <phoneticPr fontId="20" type="noConversion"/>
  <pageMargins left="0.5" right="0.25" top="0.25" bottom="0.25" header="0.3" footer="0.3"/>
  <pageSetup paperSize="9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09D-471A-490E-87F5-6E8CCF1DFD85}">
  <dimension ref="A1:K23"/>
  <sheetViews>
    <sheetView workbookViewId="0">
      <selection activeCell="B1" sqref="B1"/>
    </sheetView>
  </sheetViews>
  <sheetFormatPr defaultRowHeight="15" x14ac:dyDescent="0.25"/>
  <cols>
    <col min="1" max="1" width="4.7109375" customWidth="1"/>
    <col min="2" max="2" width="13.7109375" customWidth="1"/>
    <col min="3" max="3" width="19.85546875" customWidth="1"/>
    <col min="4" max="4" width="25.7109375" customWidth="1"/>
    <col min="5" max="5" width="13.5703125" style="3" customWidth="1"/>
    <col min="6" max="6" width="13.5703125" style="8" customWidth="1"/>
    <col min="7" max="7" width="6.85546875" style="8" customWidth="1"/>
    <col min="8" max="8" width="35.140625" customWidth="1"/>
    <col min="9" max="9" width="12.140625" customWidth="1"/>
  </cols>
  <sheetData>
    <row r="1" spans="1:11" ht="24.75" customHeight="1" x14ac:dyDescent="0.6">
      <c r="A1" s="65"/>
      <c r="B1" s="65" t="s">
        <v>732</v>
      </c>
      <c r="C1" s="65"/>
      <c r="D1" s="65"/>
      <c r="E1" s="66"/>
      <c r="F1" s="79"/>
      <c r="G1" s="79"/>
      <c r="H1" s="66"/>
      <c r="I1" s="65"/>
      <c r="J1" s="65"/>
    </row>
    <row r="2" spans="1:11" ht="0.75" hidden="1" customHeight="1" x14ac:dyDescent="0.6">
      <c r="A2" s="65"/>
      <c r="B2" s="65"/>
      <c r="C2" s="65"/>
      <c r="D2" s="65"/>
      <c r="E2" s="66"/>
      <c r="F2" s="79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83" t="s">
        <v>593</v>
      </c>
      <c r="G3" s="67" t="s">
        <v>152</v>
      </c>
      <c r="H3" s="68" t="s">
        <v>1</v>
      </c>
      <c r="I3" s="68" t="s">
        <v>2</v>
      </c>
      <c r="J3" s="84"/>
      <c r="K3" s="27"/>
    </row>
    <row r="4" spans="1:11" ht="26.25" customHeight="1" x14ac:dyDescent="0.65">
      <c r="A4" s="4">
        <v>20</v>
      </c>
      <c r="B4" s="10"/>
      <c r="C4" s="26"/>
      <c r="D4" s="16"/>
      <c r="E4" s="10"/>
      <c r="F4" s="45"/>
      <c r="G4" s="107"/>
      <c r="H4" s="39"/>
      <c r="I4" s="1"/>
      <c r="J4" s="7"/>
    </row>
    <row r="5" spans="1:11" ht="26.25" customHeight="1" x14ac:dyDescent="0.65">
      <c r="A5" s="4">
        <v>21</v>
      </c>
      <c r="B5" s="20"/>
      <c r="C5" s="26"/>
      <c r="D5" s="10"/>
      <c r="E5" s="10"/>
      <c r="F5" s="45"/>
      <c r="G5" s="107"/>
      <c r="H5" s="87"/>
      <c r="I5" s="1"/>
      <c r="J5" s="7"/>
    </row>
    <row r="6" spans="1:11" ht="26.25" customHeight="1" x14ac:dyDescent="0.65">
      <c r="A6" s="4">
        <v>22</v>
      </c>
      <c r="B6" s="20"/>
      <c r="C6" s="26"/>
      <c r="D6" s="10"/>
      <c r="E6" s="10"/>
      <c r="F6" s="45"/>
      <c r="G6" s="107"/>
      <c r="H6" s="39"/>
      <c r="I6" s="1"/>
      <c r="J6" s="7"/>
    </row>
    <row r="7" spans="1:11" ht="26.25" customHeight="1" x14ac:dyDescent="0.65">
      <c r="A7" s="4">
        <v>23</v>
      </c>
      <c r="B7" s="10"/>
      <c r="C7" s="26"/>
      <c r="D7" s="16"/>
      <c r="E7" s="10"/>
      <c r="F7" s="45"/>
      <c r="G7" s="107"/>
      <c r="H7" s="39"/>
      <c r="I7" s="1"/>
      <c r="J7" s="7"/>
    </row>
    <row r="8" spans="1:11" ht="26.25" customHeight="1" x14ac:dyDescent="0.65">
      <c r="A8" s="4">
        <v>24</v>
      </c>
      <c r="B8" s="10"/>
      <c r="C8" s="26"/>
      <c r="D8" s="16"/>
      <c r="E8" s="10"/>
      <c r="F8" s="45"/>
      <c r="G8" s="107"/>
      <c r="H8" s="39"/>
      <c r="I8" s="1"/>
      <c r="J8" s="7"/>
    </row>
    <row r="9" spans="1:11" ht="26.25" customHeight="1" x14ac:dyDescent="0.65">
      <c r="A9" s="4">
        <v>25</v>
      </c>
      <c r="B9" s="20"/>
      <c r="C9" s="26"/>
      <c r="D9" s="10"/>
      <c r="E9" s="20"/>
      <c r="F9" s="45"/>
      <c r="G9" s="107"/>
      <c r="H9" s="39"/>
      <c r="I9" s="1"/>
      <c r="J9" s="7"/>
    </row>
    <row r="10" spans="1:11" ht="26.25" customHeight="1" x14ac:dyDescent="0.65">
      <c r="A10" s="4">
        <v>26</v>
      </c>
      <c r="B10" s="10"/>
      <c r="C10" s="26"/>
      <c r="D10" s="10"/>
      <c r="E10" s="10"/>
      <c r="F10" s="46"/>
      <c r="G10" s="107"/>
      <c r="H10" s="39"/>
      <c r="I10" s="1"/>
      <c r="J10" s="7"/>
    </row>
    <row r="11" spans="1:11" ht="26.25" customHeight="1" x14ac:dyDescent="0.65">
      <c r="A11" s="4">
        <v>27</v>
      </c>
      <c r="B11" s="10"/>
      <c r="C11" s="26"/>
      <c r="D11" s="10"/>
      <c r="E11" s="10"/>
      <c r="F11" s="46"/>
      <c r="G11" s="107"/>
      <c r="H11" s="39"/>
      <c r="I11" s="10"/>
      <c r="J11" s="7"/>
    </row>
    <row r="12" spans="1:11" ht="26.25" customHeight="1" x14ac:dyDescent="0.65">
      <c r="A12" s="4">
        <v>28</v>
      </c>
      <c r="B12" s="20"/>
      <c r="C12" s="26"/>
      <c r="D12" s="10"/>
      <c r="E12" s="20"/>
      <c r="F12" s="45"/>
      <c r="G12" s="107"/>
      <c r="H12" s="39"/>
      <c r="I12" s="1"/>
      <c r="J12" s="7"/>
    </row>
    <row r="13" spans="1:11" ht="26.25" customHeight="1" x14ac:dyDescent="0.65">
      <c r="A13" s="4">
        <v>29</v>
      </c>
      <c r="B13" s="10"/>
      <c r="C13" s="26"/>
      <c r="D13" s="10"/>
      <c r="E13" s="10"/>
      <c r="F13" s="46"/>
      <c r="G13" s="107"/>
      <c r="H13" s="39"/>
      <c r="I13" s="1"/>
      <c r="J13" s="7"/>
    </row>
    <row r="14" spans="1:11" ht="26.25" customHeight="1" x14ac:dyDescent="0.65">
      <c r="A14" s="4">
        <v>30</v>
      </c>
      <c r="B14" s="30"/>
      <c r="C14" s="26"/>
      <c r="D14" s="10"/>
      <c r="E14" s="30"/>
      <c r="F14" s="45"/>
      <c r="G14" s="107"/>
      <c r="H14" s="91"/>
      <c r="I14" s="1"/>
      <c r="J14" s="7"/>
    </row>
    <row r="15" spans="1:11" ht="26.25" customHeight="1" x14ac:dyDescent="0.65">
      <c r="A15" s="4">
        <v>31</v>
      </c>
      <c r="B15" s="10"/>
      <c r="C15" s="26"/>
      <c r="D15" s="10"/>
      <c r="E15" s="10"/>
      <c r="F15" s="46"/>
      <c r="G15" s="107"/>
      <c r="H15" s="39"/>
      <c r="I15" s="1"/>
      <c r="J15" s="7"/>
    </row>
    <row r="16" spans="1:11" ht="26.25" customHeight="1" x14ac:dyDescent="0.65">
      <c r="A16" s="4">
        <v>32</v>
      </c>
      <c r="B16" s="10"/>
      <c r="C16" s="26"/>
      <c r="D16" s="10"/>
      <c r="E16" s="10"/>
      <c r="F16" s="46"/>
      <c r="G16" s="107"/>
      <c r="H16" s="39"/>
      <c r="I16" s="1"/>
      <c r="J16" s="7"/>
    </row>
    <row r="17" spans="1:10" ht="26.25" customHeight="1" x14ac:dyDescent="0.65">
      <c r="A17" s="4">
        <v>33</v>
      </c>
      <c r="B17" s="10"/>
      <c r="C17" s="26"/>
      <c r="D17" s="10"/>
      <c r="E17" s="10"/>
      <c r="F17" s="46"/>
      <c r="G17" s="107"/>
      <c r="H17" s="39"/>
      <c r="I17" s="1"/>
      <c r="J17" s="7"/>
    </row>
    <row r="18" spans="1:10" ht="26.25" customHeight="1" x14ac:dyDescent="0.65">
      <c r="A18" s="4">
        <v>34</v>
      </c>
      <c r="B18" s="10"/>
      <c r="C18" s="26"/>
      <c r="D18" s="10"/>
      <c r="E18" s="10"/>
      <c r="F18" s="46"/>
      <c r="G18" s="107"/>
      <c r="H18" s="39"/>
      <c r="I18" s="1"/>
      <c r="J18" s="7"/>
    </row>
    <row r="19" spans="1:10" ht="26.25" customHeight="1" x14ac:dyDescent="0.65">
      <c r="A19" s="4">
        <v>35</v>
      </c>
      <c r="B19" s="10"/>
      <c r="C19" s="26"/>
      <c r="D19" s="10"/>
      <c r="E19" s="10"/>
      <c r="F19" s="46"/>
      <c r="G19" s="107"/>
      <c r="H19" s="39"/>
      <c r="I19" s="1"/>
      <c r="J19" s="7"/>
    </row>
    <row r="20" spans="1:10" ht="26.25" customHeight="1" x14ac:dyDescent="0.65">
      <c r="A20" s="4">
        <v>36</v>
      </c>
      <c r="B20" s="10"/>
      <c r="C20" s="26"/>
      <c r="D20" s="10"/>
      <c r="E20" s="17"/>
      <c r="F20" s="46"/>
      <c r="G20" s="107"/>
      <c r="H20" s="39"/>
      <c r="I20" s="1"/>
      <c r="J20" s="7"/>
    </row>
    <row r="21" spans="1:10" ht="26.25" customHeight="1" x14ac:dyDescent="0.65">
      <c r="A21" s="4">
        <v>37</v>
      </c>
      <c r="B21" s="10"/>
      <c r="C21" s="26"/>
      <c r="D21" s="10"/>
      <c r="E21" s="17"/>
      <c r="F21" s="46"/>
      <c r="G21" s="107"/>
      <c r="H21" s="51"/>
      <c r="I21" s="1"/>
      <c r="J21" s="7"/>
    </row>
    <row r="22" spans="1:10" ht="26.25" customHeight="1" x14ac:dyDescent="0.65">
      <c r="A22" s="4">
        <v>38</v>
      </c>
      <c r="B22" s="10"/>
      <c r="C22" s="26"/>
      <c r="D22" s="10"/>
      <c r="E22" s="17"/>
      <c r="F22" s="46"/>
      <c r="G22" s="107"/>
      <c r="H22" s="51"/>
      <c r="I22" s="1"/>
      <c r="J22" s="7"/>
    </row>
    <row r="23" spans="1:10" ht="27.75" customHeight="1" x14ac:dyDescent="0.6">
      <c r="A23" s="6"/>
      <c r="B23" s="61"/>
      <c r="C23" s="9"/>
      <c r="D23" s="18"/>
      <c r="E23" s="17"/>
      <c r="F23" s="48"/>
      <c r="G23" s="108"/>
      <c r="H23" s="51"/>
      <c r="I23" s="1"/>
    </row>
  </sheetData>
  <pageMargins left="0.25" right="0" top="0.25" bottom="0.25" header="0.3" footer="0.3"/>
  <pageSetup paperSize="9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"/>
  <sheetViews>
    <sheetView workbookViewId="0">
      <selection activeCell="D11" sqref="D11"/>
    </sheetView>
  </sheetViews>
  <sheetFormatPr defaultRowHeight="15" x14ac:dyDescent="0.25"/>
  <cols>
    <col min="1" max="1" width="4.7109375" customWidth="1"/>
    <col min="2" max="2" width="14.7109375" customWidth="1"/>
    <col min="3" max="3" width="17.140625" customWidth="1"/>
    <col min="4" max="4" width="24.140625" customWidth="1"/>
    <col min="5" max="5" width="13.5703125" customWidth="1"/>
    <col min="6" max="6" width="12.7109375" customWidth="1"/>
    <col min="7" max="7" width="7.42578125" style="8" customWidth="1"/>
    <col min="8" max="8" width="37.28515625" customWidth="1"/>
    <col min="9" max="9" width="11.140625" customWidth="1"/>
  </cols>
  <sheetData>
    <row r="1" spans="1:11" ht="22.5" customHeight="1" x14ac:dyDescent="0.6">
      <c r="A1" s="65"/>
      <c r="B1" s="65" t="s">
        <v>569</v>
      </c>
      <c r="C1" s="65"/>
      <c r="D1" s="65"/>
      <c r="E1" s="65"/>
      <c r="F1" s="66"/>
      <c r="G1" s="79"/>
      <c r="H1" s="66"/>
      <c r="I1" s="65"/>
      <c r="J1" s="65"/>
    </row>
    <row r="2" spans="1:11" ht="0.75" customHeight="1" x14ac:dyDescent="0.6">
      <c r="A2" s="65"/>
      <c r="B2" s="65"/>
      <c r="C2" s="65"/>
      <c r="D2" s="65"/>
      <c r="E2" s="65"/>
      <c r="F2" s="65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67" t="s">
        <v>593</v>
      </c>
      <c r="G3" s="67" t="s">
        <v>152</v>
      </c>
      <c r="H3" s="68" t="s">
        <v>1</v>
      </c>
      <c r="I3" s="68" t="s">
        <v>2</v>
      </c>
      <c r="J3" s="84"/>
      <c r="K3" s="27"/>
    </row>
    <row r="4" spans="1:11" ht="25.5" customHeight="1" x14ac:dyDescent="0.65">
      <c r="A4" s="4">
        <v>1</v>
      </c>
      <c r="B4" s="10" t="s">
        <v>120</v>
      </c>
      <c r="C4" s="26" t="s">
        <v>105</v>
      </c>
      <c r="D4" s="10" t="s">
        <v>106</v>
      </c>
      <c r="E4" s="10">
        <v>46016</v>
      </c>
      <c r="F4" s="41">
        <v>300</v>
      </c>
      <c r="G4" s="4"/>
      <c r="H4" s="89" t="s">
        <v>572</v>
      </c>
      <c r="I4" s="1"/>
      <c r="J4" s="7"/>
    </row>
    <row r="5" spans="1:11" ht="25.5" customHeight="1" x14ac:dyDescent="0.65">
      <c r="A5" s="4">
        <v>2</v>
      </c>
      <c r="B5" s="20" t="s">
        <v>112</v>
      </c>
      <c r="C5" s="26" t="s">
        <v>115</v>
      </c>
      <c r="D5" s="10" t="s">
        <v>116</v>
      </c>
      <c r="E5" s="20">
        <v>45997</v>
      </c>
      <c r="F5" s="41">
        <v>100</v>
      </c>
      <c r="G5" s="12"/>
      <c r="H5" s="90"/>
      <c r="I5" s="1"/>
      <c r="J5" s="7"/>
    </row>
    <row r="6" spans="1:11" ht="25.5" customHeight="1" x14ac:dyDescent="0.65">
      <c r="A6" s="4">
        <v>3</v>
      </c>
      <c r="B6" s="20" t="s">
        <v>113</v>
      </c>
      <c r="C6" s="26" t="s">
        <v>114</v>
      </c>
      <c r="D6" s="10" t="s">
        <v>116</v>
      </c>
      <c r="E6" s="10">
        <v>45997</v>
      </c>
      <c r="F6" s="41">
        <v>100</v>
      </c>
      <c r="G6" s="12"/>
      <c r="H6" s="39"/>
      <c r="I6" s="1"/>
      <c r="J6" s="7"/>
    </row>
    <row r="7" spans="1:11" ht="25.5" customHeight="1" x14ac:dyDescent="0.65">
      <c r="A7" s="4">
        <v>4</v>
      </c>
      <c r="B7" s="10" t="s">
        <v>117</v>
      </c>
      <c r="C7" s="26" t="s">
        <v>118</v>
      </c>
      <c r="D7" s="16" t="s">
        <v>119</v>
      </c>
      <c r="E7" s="10">
        <v>45986</v>
      </c>
      <c r="F7" s="41">
        <v>262</v>
      </c>
      <c r="G7" s="12"/>
      <c r="H7" s="39" t="s">
        <v>342</v>
      </c>
      <c r="I7" s="1"/>
      <c r="J7" s="7"/>
    </row>
    <row r="8" spans="1:11" ht="25.5" customHeight="1" x14ac:dyDescent="0.65">
      <c r="A8" s="4">
        <v>5</v>
      </c>
      <c r="B8" s="10" t="s">
        <v>343</v>
      </c>
      <c r="C8" s="26" t="s">
        <v>154</v>
      </c>
      <c r="D8" s="10" t="s">
        <v>155</v>
      </c>
      <c r="E8" s="10">
        <v>46016</v>
      </c>
      <c r="F8" s="41">
        <v>100</v>
      </c>
      <c r="G8" s="4"/>
      <c r="H8" s="39" t="s">
        <v>344</v>
      </c>
      <c r="I8" s="1"/>
      <c r="J8" s="7"/>
    </row>
    <row r="9" spans="1:11" ht="25.5" customHeight="1" x14ac:dyDescent="0.65">
      <c r="A9" s="4">
        <v>6</v>
      </c>
      <c r="B9" s="30" t="s">
        <v>758</v>
      </c>
      <c r="C9" s="26" t="s">
        <v>759</v>
      </c>
      <c r="D9" s="10" t="s">
        <v>760</v>
      </c>
      <c r="E9" s="30">
        <v>46006</v>
      </c>
      <c r="F9" s="41">
        <v>100</v>
      </c>
      <c r="G9" s="4"/>
      <c r="H9" s="39"/>
      <c r="I9" s="1"/>
      <c r="J9" s="7"/>
    </row>
    <row r="10" spans="1:11" ht="25.5" customHeight="1" x14ac:dyDescent="0.65">
      <c r="A10" s="4">
        <v>7</v>
      </c>
      <c r="B10" s="10"/>
      <c r="C10" s="26"/>
      <c r="D10" s="10"/>
      <c r="E10" s="10"/>
      <c r="F10" s="41"/>
      <c r="G10" s="4"/>
      <c r="H10" s="39"/>
      <c r="I10" s="1"/>
      <c r="J10" s="7"/>
    </row>
    <row r="11" spans="1:11" ht="25.5" customHeight="1" x14ac:dyDescent="0.65">
      <c r="A11" s="4">
        <v>8</v>
      </c>
      <c r="B11" s="18"/>
      <c r="C11" s="85"/>
      <c r="D11" s="18"/>
      <c r="E11" s="18"/>
      <c r="F11" s="147"/>
      <c r="G11" s="5"/>
      <c r="H11" s="85"/>
      <c r="I11" s="10"/>
      <c r="J11" s="7"/>
    </row>
    <row r="12" spans="1:11" ht="25.5" customHeight="1" x14ac:dyDescent="0.65">
      <c r="A12" s="4">
        <v>9</v>
      </c>
      <c r="B12" s="10"/>
      <c r="C12" s="26"/>
      <c r="D12" s="10"/>
      <c r="E12" s="10"/>
      <c r="F12" s="40"/>
      <c r="G12" s="4"/>
      <c r="H12" s="39"/>
      <c r="I12" s="1"/>
      <c r="J12" s="7"/>
    </row>
    <row r="13" spans="1:11" ht="25.5" customHeight="1" x14ac:dyDescent="0.65">
      <c r="A13" s="4">
        <v>10</v>
      </c>
      <c r="B13" s="10"/>
      <c r="C13" s="11"/>
      <c r="D13" s="10"/>
      <c r="E13" s="10"/>
      <c r="F13" s="40"/>
      <c r="G13" s="4"/>
      <c r="H13" s="39"/>
      <c r="I13" s="1"/>
      <c r="J13" s="7"/>
    </row>
    <row r="14" spans="1:11" ht="25.5" customHeight="1" x14ac:dyDescent="0.65">
      <c r="A14" s="4">
        <v>11</v>
      </c>
      <c r="B14" s="10"/>
      <c r="C14" s="11"/>
      <c r="D14" s="10"/>
      <c r="E14" s="17"/>
      <c r="F14" s="40"/>
      <c r="G14" s="4"/>
      <c r="H14" s="39"/>
      <c r="I14" s="1"/>
      <c r="J14" s="7"/>
    </row>
    <row r="15" spans="1:11" ht="25.5" customHeight="1" x14ac:dyDescent="0.65">
      <c r="A15" s="4">
        <v>12</v>
      </c>
      <c r="B15" s="10"/>
      <c r="C15" s="11"/>
      <c r="D15" s="10"/>
      <c r="E15" s="17"/>
      <c r="F15" s="40"/>
      <c r="G15" s="4"/>
      <c r="H15" s="39"/>
      <c r="I15" s="1"/>
      <c r="J15" s="7"/>
    </row>
    <row r="16" spans="1:11" ht="25.5" customHeight="1" x14ac:dyDescent="0.65">
      <c r="A16" s="4">
        <v>13</v>
      </c>
      <c r="B16" s="10"/>
      <c r="C16" s="11"/>
      <c r="D16" s="10"/>
      <c r="E16" s="17"/>
      <c r="F16" s="40"/>
      <c r="G16" s="4"/>
      <c r="H16" s="39"/>
      <c r="I16" s="1"/>
      <c r="J16" s="7"/>
    </row>
    <row r="17" spans="1:10" ht="25.5" customHeight="1" x14ac:dyDescent="0.65">
      <c r="A17" s="4">
        <v>14</v>
      </c>
      <c r="B17" s="10"/>
      <c r="C17" s="11"/>
      <c r="D17" s="10"/>
      <c r="E17" s="17"/>
      <c r="F17" s="40"/>
      <c r="G17" s="4"/>
      <c r="H17" s="39"/>
      <c r="I17" s="1"/>
      <c r="J17" s="7"/>
    </row>
    <row r="18" spans="1:10" ht="25.5" customHeight="1" x14ac:dyDescent="0.65">
      <c r="A18" s="4">
        <v>15</v>
      </c>
      <c r="B18" s="10"/>
      <c r="C18" s="11"/>
      <c r="D18" s="10"/>
      <c r="E18" s="17"/>
      <c r="F18" s="40"/>
      <c r="G18" s="4"/>
      <c r="H18" s="14"/>
      <c r="I18" s="1"/>
      <c r="J18" s="7"/>
    </row>
    <row r="19" spans="1:10" ht="25.5" customHeight="1" x14ac:dyDescent="0.65">
      <c r="A19" s="4">
        <v>16</v>
      </c>
      <c r="B19" s="10"/>
      <c r="C19" s="11"/>
      <c r="D19" s="10"/>
      <c r="E19" s="17"/>
      <c r="F19" s="40"/>
      <c r="G19" s="4"/>
      <c r="H19" s="14"/>
      <c r="I19" s="1"/>
      <c r="J19" s="7"/>
    </row>
    <row r="20" spans="1:10" ht="25.5" customHeight="1" x14ac:dyDescent="0.65">
      <c r="A20" s="4">
        <v>17</v>
      </c>
      <c r="B20" s="10"/>
      <c r="C20" s="11"/>
      <c r="D20" s="10"/>
      <c r="E20" s="17"/>
      <c r="F20" s="40"/>
      <c r="G20" s="4"/>
      <c r="H20" s="14"/>
      <c r="I20" s="1"/>
      <c r="J20" s="7"/>
    </row>
    <row r="21" spans="1:10" ht="25.5" customHeight="1" x14ac:dyDescent="0.65">
      <c r="A21" s="4">
        <v>18</v>
      </c>
      <c r="B21" s="10"/>
      <c r="C21" s="11"/>
      <c r="D21" s="10"/>
      <c r="E21" s="17"/>
      <c r="F21" s="40"/>
      <c r="G21" s="4"/>
      <c r="H21" s="14"/>
      <c r="I21" s="1"/>
      <c r="J21" s="7"/>
    </row>
    <row r="22" spans="1:10" ht="25.5" customHeight="1" x14ac:dyDescent="0.65">
      <c r="A22" s="4">
        <v>19</v>
      </c>
      <c r="B22" s="10"/>
      <c r="C22" s="11"/>
      <c r="D22" s="10"/>
      <c r="E22" s="17"/>
      <c r="F22" s="40"/>
      <c r="G22" s="4"/>
      <c r="H22" s="15"/>
      <c r="I22" s="1"/>
      <c r="J22" s="7"/>
    </row>
    <row r="23" spans="1:10" ht="24.75" customHeight="1" x14ac:dyDescent="0.25">
      <c r="A23" s="6"/>
      <c r="B23" s="9"/>
      <c r="C23" s="9"/>
      <c r="D23" s="18"/>
      <c r="E23" s="18"/>
      <c r="F23" s="47">
        <f>SUM(F4:F20)</f>
        <v>962</v>
      </c>
      <c r="G23" s="5"/>
      <c r="H23" s="15"/>
      <c r="I23" s="1"/>
    </row>
  </sheetData>
  <pageMargins left="0.25" right="0.25" top="0.25" bottom="0.25" header="0.3" footer="0.3"/>
  <pageSetup paperSize="9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"/>
  <sheetViews>
    <sheetView workbookViewId="0">
      <selection activeCell="D6" sqref="D6"/>
    </sheetView>
  </sheetViews>
  <sheetFormatPr defaultRowHeight="15" x14ac:dyDescent="0.25"/>
  <cols>
    <col min="1" max="1" width="4.7109375" customWidth="1"/>
    <col min="2" max="2" width="13.7109375" customWidth="1"/>
    <col min="3" max="3" width="16.140625" customWidth="1"/>
    <col min="4" max="4" width="24.140625" customWidth="1"/>
    <col min="5" max="5" width="13.5703125" style="3" customWidth="1"/>
    <col min="6" max="6" width="13.5703125" style="8" customWidth="1"/>
    <col min="7" max="7" width="6.85546875" style="8" customWidth="1"/>
    <col min="8" max="8" width="36.5703125" customWidth="1"/>
    <col min="9" max="9" width="11.140625" customWidth="1"/>
  </cols>
  <sheetData>
    <row r="1" spans="1:11" ht="24.75" customHeight="1" x14ac:dyDescent="0.75">
      <c r="A1" s="65"/>
      <c r="B1" s="65" t="s">
        <v>765</v>
      </c>
      <c r="C1" s="65"/>
      <c r="D1" s="65"/>
      <c r="E1" s="66"/>
      <c r="F1" s="79"/>
      <c r="G1" s="79"/>
      <c r="H1" s="66"/>
      <c r="I1" s="65"/>
      <c r="J1" s="71"/>
    </row>
    <row r="2" spans="1:11" ht="0.75" hidden="1" customHeight="1" x14ac:dyDescent="0.75">
      <c r="A2" s="65"/>
      <c r="B2" s="65"/>
      <c r="C2" s="65"/>
      <c r="D2" s="65"/>
      <c r="E2" s="66"/>
      <c r="F2" s="79"/>
      <c r="G2" s="79"/>
      <c r="H2" s="65"/>
      <c r="I2" s="65"/>
      <c r="J2" s="71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83" t="s">
        <v>593</v>
      </c>
      <c r="G3" s="67" t="s">
        <v>152</v>
      </c>
      <c r="H3" s="68" t="s">
        <v>1</v>
      </c>
      <c r="I3" s="68" t="s">
        <v>2</v>
      </c>
      <c r="J3" s="86"/>
      <c r="K3" s="27"/>
    </row>
    <row r="4" spans="1:11" ht="26.25" customHeight="1" x14ac:dyDescent="0.65">
      <c r="A4" s="4">
        <v>1</v>
      </c>
      <c r="B4" s="20" t="s">
        <v>187</v>
      </c>
      <c r="C4" s="26" t="s">
        <v>188</v>
      </c>
      <c r="D4" s="10" t="s">
        <v>189</v>
      </c>
      <c r="E4" s="10">
        <v>46008</v>
      </c>
      <c r="F4" s="45">
        <v>100</v>
      </c>
      <c r="G4" s="4"/>
      <c r="H4" s="87" t="s">
        <v>733</v>
      </c>
      <c r="I4" s="1"/>
      <c r="J4" s="7"/>
    </row>
    <row r="5" spans="1:11" ht="26.25" customHeight="1" x14ac:dyDescent="0.65">
      <c r="A5" s="4">
        <v>2</v>
      </c>
      <c r="B5" s="20" t="s">
        <v>216</v>
      </c>
      <c r="C5" s="26" t="s">
        <v>217</v>
      </c>
      <c r="D5" s="10" t="s">
        <v>218</v>
      </c>
      <c r="E5" s="10">
        <v>46011</v>
      </c>
      <c r="F5" s="45">
        <v>200</v>
      </c>
      <c r="G5" s="4"/>
      <c r="H5" s="14"/>
      <c r="I5" s="1"/>
      <c r="J5" s="7"/>
    </row>
    <row r="6" spans="1:11" ht="26.25" customHeight="1" x14ac:dyDescent="0.65">
      <c r="A6" s="130">
        <v>3</v>
      </c>
      <c r="B6" s="38" t="s">
        <v>387</v>
      </c>
      <c r="C6" s="26" t="s">
        <v>325</v>
      </c>
      <c r="D6" s="16" t="s">
        <v>326</v>
      </c>
      <c r="E6" s="10">
        <v>45991</v>
      </c>
      <c r="F6" s="45">
        <v>200</v>
      </c>
      <c r="G6" s="106">
        <v>200</v>
      </c>
      <c r="H6" s="39" t="s">
        <v>761</v>
      </c>
      <c r="I6" s="1"/>
      <c r="J6" s="7"/>
    </row>
    <row r="7" spans="1:11" ht="26.25" customHeight="1" x14ac:dyDescent="0.65">
      <c r="A7" s="130">
        <v>4</v>
      </c>
      <c r="B7" s="20"/>
      <c r="C7" s="26"/>
      <c r="D7" s="10"/>
      <c r="E7" s="10"/>
      <c r="F7" s="45"/>
      <c r="G7" s="130"/>
      <c r="H7" s="14"/>
      <c r="I7" s="1"/>
      <c r="J7" s="7"/>
    </row>
    <row r="8" spans="1:11" ht="26.25" customHeight="1" x14ac:dyDescent="0.65">
      <c r="A8" s="130">
        <v>5</v>
      </c>
      <c r="B8" s="20"/>
      <c r="C8" s="26"/>
      <c r="D8" s="16"/>
      <c r="E8" s="10"/>
      <c r="F8" s="45"/>
      <c r="G8" s="106"/>
      <c r="H8" s="39"/>
      <c r="I8" s="1"/>
      <c r="J8" s="7"/>
    </row>
    <row r="9" spans="1:11" ht="26.25" customHeight="1" x14ac:dyDescent="0.25">
      <c r="A9" s="6"/>
      <c r="B9" s="9"/>
      <c r="C9" s="9"/>
      <c r="D9" s="1"/>
      <c r="E9" s="17"/>
      <c r="F9" s="48">
        <f>SUM(F4:F8)</f>
        <v>500</v>
      </c>
      <c r="G9" s="5"/>
      <c r="H9" s="15"/>
      <c r="I9" s="1"/>
      <c r="J9" s="7"/>
    </row>
    <row r="10" spans="1:11" ht="26.25" customHeight="1" x14ac:dyDescent="0.25">
      <c r="J10" s="7"/>
    </row>
    <row r="11" spans="1:11" ht="26.25" customHeight="1" x14ac:dyDescent="0.6">
      <c r="B11" s="65" t="s">
        <v>226</v>
      </c>
      <c r="J11" s="7"/>
    </row>
    <row r="12" spans="1:11" ht="26.25" customHeight="1" x14ac:dyDescent="0.25">
      <c r="A12" s="67" t="s">
        <v>0</v>
      </c>
      <c r="B12" s="68" t="s">
        <v>48</v>
      </c>
      <c r="C12" s="68" t="s">
        <v>3</v>
      </c>
      <c r="D12" s="68" t="s">
        <v>5</v>
      </c>
      <c r="E12" s="68" t="s">
        <v>4</v>
      </c>
      <c r="F12" s="83" t="s">
        <v>593</v>
      </c>
      <c r="G12" s="67" t="s">
        <v>152</v>
      </c>
      <c r="H12" s="68" t="s">
        <v>1</v>
      </c>
      <c r="I12" s="68" t="s">
        <v>2</v>
      </c>
      <c r="J12" s="7"/>
    </row>
    <row r="13" spans="1:11" ht="26.25" customHeight="1" x14ac:dyDescent="0.65">
      <c r="A13" s="130">
        <v>1</v>
      </c>
      <c r="B13" s="38" t="s">
        <v>266</v>
      </c>
      <c r="C13" s="26" t="s">
        <v>241</v>
      </c>
      <c r="D13" s="10" t="s">
        <v>242</v>
      </c>
      <c r="E13" s="10">
        <v>45983</v>
      </c>
      <c r="F13" s="45">
        <v>100</v>
      </c>
      <c r="G13" s="106">
        <v>100</v>
      </c>
      <c r="H13" s="87" t="s">
        <v>762</v>
      </c>
      <c r="I13" s="1"/>
      <c r="J13" s="7"/>
    </row>
    <row r="14" spans="1:11" ht="26.25" customHeight="1" x14ac:dyDescent="0.65">
      <c r="A14" s="130">
        <v>2</v>
      </c>
      <c r="B14" s="20" t="s">
        <v>267</v>
      </c>
      <c r="C14" s="26" t="s">
        <v>243</v>
      </c>
      <c r="D14" s="10" t="s">
        <v>244</v>
      </c>
      <c r="E14" s="10">
        <v>46001</v>
      </c>
      <c r="F14" s="45">
        <v>200</v>
      </c>
      <c r="G14" s="130"/>
      <c r="H14" s="88" t="s">
        <v>487</v>
      </c>
      <c r="I14" s="1"/>
      <c r="J14" s="7"/>
    </row>
    <row r="15" spans="1:11" ht="26.25" customHeight="1" x14ac:dyDescent="0.65">
      <c r="A15" s="130">
        <v>3</v>
      </c>
      <c r="B15" s="20"/>
      <c r="C15" s="26"/>
      <c r="D15" s="10"/>
      <c r="E15" s="10"/>
      <c r="F15" s="45"/>
      <c r="G15" s="130"/>
      <c r="H15" s="88"/>
      <c r="I15" s="1"/>
      <c r="J15" s="7"/>
    </row>
    <row r="16" spans="1:11" ht="26.25" customHeight="1" x14ac:dyDescent="0.65">
      <c r="A16" s="130">
        <v>4</v>
      </c>
      <c r="B16" s="20"/>
      <c r="C16" s="26"/>
      <c r="D16" s="10"/>
      <c r="E16" s="10"/>
      <c r="F16" s="45"/>
      <c r="G16" s="12"/>
      <c r="H16" s="39"/>
      <c r="I16" s="1"/>
      <c r="J16" s="7"/>
    </row>
    <row r="17" spans="1:10" ht="26.25" customHeight="1" x14ac:dyDescent="0.25">
      <c r="A17" s="6"/>
      <c r="B17" s="9"/>
      <c r="C17" s="9"/>
      <c r="D17" s="1"/>
      <c r="E17" s="17"/>
      <c r="F17" s="48">
        <f>SUM(F13:F16)</f>
        <v>300</v>
      </c>
      <c r="G17" s="5"/>
      <c r="H17" s="15"/>
      <c r="I17" s="1"/>
      <c r="J17" s="7"/>
    </row>
    <row r="18" spans="1:10" ht="26.25" customHeight="1" x14ac:dyDescent="0.25">
      <c r="J18" s="7"/>
    </row>
    <row r="19" spans="1:10" ht="26.25" customHeight="1" x14ac:dyDescent="0.25">
      <c r="J19" s="7"/>
    </row>
    <row r="20" spans="1:10" ht="26.25" customHeight="1" x14ac:dyDescent="0.25">
      <c r="J20" s="7"/>
    </row>
    <row r="21" spans="1:10" ht="26.25" customHeight="1" x14ac:dyDescent="0.25">
      <c r="J21" s="7"/>
    </row>
    <row r="22" spans="1:10" ht="26.25" customHeight="1" x14ac:dyDescent="0.25">
      <c r="J22" s="7"/>
    </row>
    <row r="23" spans="1:10" ht="26.25" customHeight="1" x14ac:dyDescent="0.25">
      <c r="J23" s="7"/>
    </row>
    <row r="24" spans="1:10" ht="26.25" customHeight="1" x14ac:dyDescent="0.25">
      <c r="J24" s="7"/>
    </row>
    <row r="25" spans="1:10" ht="26.25" customHeight="1" x14ac:dyDescent="0.25">
      <c r="J25" s="7"/>
    </row>
    <row r="26" spans="1:10" ht="26.25" customHeight="1" x14ac:dyDescent="0.25"/>
  </sheetData>
  <pageMargins left="0.5" right="0.25" top="0.25" bottom="0.25" header="0.3" footer="0.3"/>
  <pageSetup paperSize="9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3"/>
  <sheetViews>
    <sheetView workbookViewId="0">
      <selection activeCell="E8" sqref="E8"/>
    </sheetView>
  </sheetViews>
  <sheetFormatPr defaultRowHeight="15" x14ac:dyDescent="0.25"/>
  <cols>
    <col min="1" max="1" width="4.7109375" customWidth="1"/>
    <col min="2" max="2" width="18.85546875" customWidth="1"/>
    <col min="3" max="3" width="16.7109375" customWidth="1"/>
    <col min="4" max="4" width="24.140625" customWidth="1"/>
    <col min="5" max="5" width="13.28515625" style="3" customWidth="1"/>
    <col min="6" max="6" width="12.5703125" style="8" customWidth="1"/>
    <col min="7" max="7" width="6.85546875" style="8" customWidth="1"/>
    <col min="8" max="8" width="32.28515625" customWidth="1"/>
    <col min="9" max="9" width="10.7109375" customWidth="1"/>
  </cols>
  <sheetData>
    <row r="1" spans="1:11" ht="24.75" customHeight="1" x14ac:dyDescent="0.6">
      <c r="A1" s="65"/>
      <c r="B1" s="65" t="s">
        <v>388</v>
      </c>
      <c r="C1" s="65"/>
      <c r="D1" s="65"/>
      <c r="E1" s="66"/>
      <c r="F1" s="79"/>
      <c r="G1" s="79"/>
      <c r="H1" s="66"/>
      <c r="I1" s="65"/>
      <c r="J1" s="65"/>
    </row>
    <row r="2" spans="1:11" ht="0.75" hidden="1" customHeight="1" x14ac:dyDescent="0.6">
      <c r="A2" s="65"/>
      <c r="B2" s="65"/>
      <c r="C2" s="65"/>
      <c r="D2" s="65"/>
      <c r="E2" s="66"/>
      <c r="F2" s="79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83" t="s">
        <v>593</v>
      </c>
      <c r="G3" s="67" t="s">
        <v>152</v>
      </c>
      <c r="H3" s="68" t="s">
        <v>1</v>
      </c>
      <c r="I3" s="68" t="s">
        <v>2</v>
      </c>
      <c r="J3" s="84"/>
      <c r="K3" s="27"/>
    </row>
    <row r="4" spans="1:11" ht="26.25" customHeight="1" x14ac:dyDescent="0.65">
      <c r="A4" s="4">
        <v>1</v>
      </c>
      <c r="B4" s="20" t="s">
        <v>389</v>
      </c>
      <c r="C4" s="26" t="s">
        <v>390</v>
      </c>
      <c r="D4" s="10" t="s">
        <v>391</v>
      </c>
      <c r="E4" s="10">
        <v>46001</v>
      </c>
      <c r="F4" s="45">
        <v>100</v>
      </c>
      <c r="G4" s="4">
        <v>4</v>
      </c>
      <c r="H4" s="87" t="s">
        <v>415</v>
      </c>
      <c r="I4" s="1"/>
      <c r="J4" s="7"/>
    </row>
    <row r="5" spans="1:11" ht="26.25" customHeight="1" x14ac:dyDescent="0.65">
      <c r="A5" s="4">
        <v>2</v>
      </c>
      <c r="B5" s="20" t="s">
        <v>659</v>
      </c>
      <c r="C5" s="26" t="s">
        <v>660</v>
      </c>
      <c r="D5" s="10" t="s">
        <v>661</v>
      </c>
      <c r="E5" s="10">
        <v>46005</v>
      </c>
      <c r="F5" s="45">
        <v>200</v>
      </c>
      <c r="G5" s="4"/>
      <c r="H5" s="87" t="s">
        <v>662</v>
      </c>
      <c r="I5" s="1"/>
      <c r="J5" s="7"/>
    </row>
    <row r="6" spans="1:11" ht="26.25" customHeight="1" x14ac:dyDescent="0.65">
      <c r="A6" s="4">
        <v>3</v>
      </c>
      <c r="B6" s="10" t="s">
        <v>488</v>
      </c>
      <c r="C6" s="26" t="s">
        <v>416</v>
      </c>
      <c r="D6" s="16" t="s">
        <v>489</v>
      </c>
      <c r="E6" s="10">
        <v>46004</v>
      </c>
      <c r="F6" s="45">
        <v>200</v>
      </c>
      <c r="G6" s="12" t="s">
        <v>374</v>
      </c>
      <c r="H6" s="39"/>
      <c r="I6" s="1"/>
      <c r="J6" s="7"/>
    </row>
    <row r="7" spans="1:11" ht="26.25" customHeight="1" x14ac:dyDescent="0.65">
      <c r="A7" s="4">
        <v>4</v>
      </c>
      <c r="B7" s="20" t="s">
        <v>666</v>
      </c>
      <c r="C7" s="26" t="s">
        <v>667</v>
      </c>
      <c r="D7" s="16" t="s">
        <v>668</v>
      </c>
      <c r="E7" s="10">
        <v>46002</v>
      </c>
      <c r="F7" s="45">
        <v>100</v>
      </c>
      <c r="G7" s="12"/>
      <c r="H7" s="39"/>
      <c r="I7" s="1"/>
      <c r="J7" s="7"/>
    </row>
    <row r="8" spans="1:11" ht="26.25" customHeight="1" x14ac:dyDescent="0.65">
      <c r="A8" s="4">
        <v>5</v>
      </c>
      <c r="B8" s="38" t="s">
        <v>490</v>
      </c>
      <c r="C8" s="26" t="s">
        <v>545</v>
      </c>
      <c r="D8" s="10" t="s">
        <v>546</v>
      </c>
      <c r="E8" s="10">
        <v>45986</v>
      </c>
      <c r="F8" s="45">
        <v>100</v>
      </c>
      <c r="G8" s="12"/>
      <c r="H8" s="87" t="s">
        <v>763</v>
      </c>
      <c r="I8" s="1"/>
      <c r="J8" s="7"/>
    </row>
    <row r="9" spans="1:11" ht="26.25" customHeight="1" x14ac:dyDescent="0.65">
      <c r="A9" s="4">
        <v>6</v>
      </c>
      <c r="B9" s="20" t="s">
        <v>558</v>
      </c>
      <c r="C9" s="26" t="s">
        <v>559</v>
      </c>
      <c r="D9" s="10" t="s">
        <v>560</v>
      </c>
      <c r="E9" s="10">
        <v>46019</v>
      </c>
      <c r="F9" s="45">
        <v>100</v>
      </c>
      <c r="G9" s="12"/>
      <c r="H9" s="87"/>
      <c r="I9" s="1"/>
      <c r="J9" s="7"/>
    </row>
    <row r="10" spans="1:11" ht="26.25" customHeight="1" x14ac:dyDescent="0.65">
      <c r="A10" s="4">
        <v>7</v>
      </c>
      <c r="B10" s="10" t="s">
        <v>491</v>
      </c>
      <c r="C10" s="26" t="s">
        <v>492</v>
      </c>
      <c r="D10" s="10" t="s">
        <v>493</v>
      </c>
      <c r="E10" s="10">
        <v>46008</v>
      </c>
      <c r="F10" s="45">
        <v>100</v>
      </c>
      <c r="G10" s="4"/>
      <c r="H10" s="87" t="s">
        <v>570</v>
      </c>
      <c r="I10" s="1"/>
      <c r="J10" s="7"/>
    </row>
    <row r="11" spans="1:11" ht="26.25" customHeight="1" x14ac:dyDescent="0.65">
      <c r="A11" s="4">
        <v>8</v>
      </c>
      <c r="B11" s="10" t="s">
        <v>494</v>
      </c>
      <c r="C11" s="26" t="s">
        <v>495</v>
      </c>
      <c r="D11" s="10" t="s">
        <v>496</v>
      </c>
      <c r="E11" s="10">
        <v>46003</v>
      </c>
      <c r="F11" s="45">
        <v>200</v>
      </c>
      <c r="G11" s="4"/>
      <c r="H11" s="87" t="s">
        <v>571</v>
      </c>
      <c r="I11" s="10"/>
      <c r="J11" s="7"/>
    </row>
    <row r="12" spans="1:11" ht="26.25" customHeight="1" x14ac:dyDescent="0.65">
      <c r="A12" s="4">
        <v>9</v>
      </c>
      <c r="B12" s="10" t="s">
        <v>547</v>
      </c>
      <c r="C12" s="26" t="s">
        <v>663</v>
      </c>
      <c r="D12" s="10" t="s">
        <v>664</v>
      </c>
      <c r="E12" s="10">
        <v>46010</v>
      </c>
      <c r="F12" s="46">
        <v>100</v>
      </c>
      <c r="G12" s="4"/>
      <c r="H12" s="87"/>
      <c r="I12" s="1"/>
      <c r="J12" s="7"/>
    </row>
    <row r="13" spans="1:11" ht="26.25" customHeight="1" x14ac:dyDescent="0.65">
      <c r="A13" s="4">
        <v>10</v>
      </c>
      <c r="B13" s="20" t="s">
        <v>548</v>
      </c>
      <c r="C13" s="26" t="s">
        <v>549</v>
      </c>
      <c r="D13" s="10" t="s">
        <v>550</v>
      </c>
      <c r="E13" s="10">
        <v>46017</v>
      </c>
      <c r="F13" s="46">
        <v>200</v>
      </c>
      <c r="G13" s="4"/>
      <c r="H13" s="87" t="s">
        <v>665</v>
      </c>
      <c r="I13" s="1"/>
      <c r="J13" s="7"/>
    </row>
    <row r="14" spans="1:11" ht="26.25" customHeight="1" x14ac:dyDescent="0.6">
      <c r="A14" s="4">
        <v>11</v>
      </c>
      <c r="B14" s="10" t="s">
        <v>551</v>
      </c>
      <c r="C14" s="87" t="s">
        <v>553</v>
      </c>
      <c r="D14" s="10" t="s">
        <v>554</v>
      </c>
      <c r="E14" s="10">
        <v>46005</v>
      </c>
      <c r="F14" s="46">
        <v>100</v>
      </c>
      <c r="G14" s="4"/>
      <c r="H14" s="87" t="s">
        <v>557</v>
      </c>
      <c r="I14" s="1"/>
      <c r="J14" s="7"/>
    </row>
    <row r="15" spans="1:11" ht="26.25" customHeight="1" x14ac:dyDescent="0.65">
      <c r="A15" s="4">
        <v>12</v>
      </c>
      <c r="B15" s="10" t="s">
        <v>552</v>
      </c>
      <c r="C15" s="26" t="s">
        <v>555</v>
      </c>
      <c r="D15" s="10" t="s">
        <v>556</v>
      </c>
      <c r="E15" s="10">
        <v>46005</v>
      </c>
      <c r="F15" s="46">
        <v>100</v>
      </c>
      <c r="G15" s="4"/>
      <c r="H15" s="87" t="s">
        <v>557</v>
      </c>
      <c r="I15" s="1"/>
      <c r="J15" s="7"/>
    </row>
    <row r="16" spans="1:11" ht="26.25" customHeight="1" x14ac:dyDescent="0.65">
      <c r="A16" s="4">
        <v>13</v>
      </c>
      <c r="B16" s="10" t="s">
        <v>669</v>
      </c>
      <c r="C16" s="26" t="s">
        <v>670</v>
      </c>
      <c r="D16" s="10" t="s">
        <v>671</v>
      </c>
      <c r="E16" s="10">
        <v>45997</v>
      </c>
      <c r="F16" s="46">
        <v>200</v>
      </c>
      <c r="G16" s="4"/>
      <c r="H16" s="39"/>
      <c r="I16" s="1"/>
      <c r="J16" s="7"/>
    </row>
    <row r="17" spans="1:10" ht="26.25" customHeight="1" x14ac:dyDescent="0.65">
      <c r="A17" s="4">
        <v>14</v>
      </c>
      <c r="B17" s="10" t="s">
        <v>672</v>
      </c>
      <c r="C17" s="26" t="s">
        <v>673</v>
      </c>
      <c r="D17" s="10" t="s">
        <v>674</v>
      </c>
      <c r="E17" s="10">
        <v>46001</v>
      </c>
      <c r="F17" s="46">
        <v>100</v>
      </c>
      <c r="G17" s="4"/>
      <c r="H17" s="39"/>
      <c r="I17" s="1"/>
      <c r="J17" s="7"/>
    </row>
    <row r="18" spans="1:10" ht="26.25" customHeight="1" x14ac:dyDescent="0.6">
      <c r="A18" s="4">
        <v>15</v>
      </c>
      <c r="B18" s="10" t="s">
        <v>734</v>
      </c>
      <c r="C18" s="87" t="s">
        <v>678</v>
      </c>
      <c r="D18" s="10" t="s">
        <v>679</v>
      </c>
      <c r="E18" s="10">
        <v>46016</v>
      </c>
      <c r="F18" s="46">
        <v>100</v>
      </c>
      <c r="G18" s="4"/>
      <c r="H18" s="39" t="s">
        <v>680</v>
      </c>
      <c r="I18" s="1"/>
      <c r="J18" s="7"/>
    </row>
    <row r="19" spans="1:10" ht="26.25" customHeight="1" x14ac:dyDescent="0.65">
      <c r="A19" s="4">
        <v>16</v>
      </c>
      <c r="B19" s="10" t="s">
        <v>735</v>
      </c>
      <c r="C19" s="26" t="s">
        <v>736</v>
      </c>
      <c r="D19" s="10" t="s">
        <v>737</v>
      </c>
      <c r="E19" s="10">
        <v>46001</v>
      </c>
      <c r="F19" s="46">
        <v>100</v>
      </c>
      <c r="G19" s="4"/>
      <c r="H19" s="39"/>
      <c r="I19" s="1"/>
      <c r="J19" s="7"/>
    </row>
    <row r="20" spans="1:10" ht="26.25" customHeight="1" x14ac:dyDescent="0.65">
      <c r="A20" s="4">
        <v>17</v>
      </c>
      <c r="B20" s="10" t="s">
        <v>738</v>
      </c>
      <c r="C20" s="26" t="s">
        <v>739</v>
      </c>
      <c r="D20" s="10" t="s">
        <v>740</v>
      </c>
      <c r="E20" s="10">
        <v>46006</v>
      </c>
      <c r="F20" s="46">
        <v>100</v>
      </c>
      <c r="G20" s="4"/>
      <c r="H20" s="39"/>
      <c r="I20" s="1"/>
      <c r="J20" s="7"/>
    </row>
    <row r="21" spans="1:10" ht="26.25" customHeight="1" x14ac:dyDescent="0.65">
      <c r="A21" s="4">
        <v>18</v>
      </c>
      <c r="B21" s="10" t="s">
        <v>743</v>
      </c>
      <c r="C21" s="26" t="s">
        <v>741</v>
      </c>
      <c r="D21" s="10" t="s">
        <v>742</v>
      </c>
      <c r="E21" s="10">
        <v>46006</v>
      </c>
      <c r="F21" s="46">
        <v>500</v>
      </c>
      <c r="G21" s="4"/>
      <c r="H21" s="51"/>
      <c r="I21" s="1"/>
      <c r="J21" s="7"/>
    </row>
    <row r="22" spans="1:10" ht="26.25" customHeight="1" x14ac:dyDescent="0.65">
      <c r="A22" s="4">
        <v>19</v>
      </c>
      <c r="B22" s="10"/>
      <c r="C22" s="11"/>
      <c r="D22" s="10"/>
      <c r="E22" s="17"/>
      <c r="F22" s="46"/>
      <c r="G22" s="4"/>
      <c r="H22" s="51"/>
      <c r="I22" s="1"/>
      <c r="J22" s="7"/>
    </row>
    <row r="23" spans="1:10" ht="26.25" customHeight="1" x14ac:dyDescent="0.6">
      <c r="A23" s="6"/>
      <c r="B23" s="9"/>
      <c r="C23" s="9"/>
      <c r="D23" s="18"/>
      <c r="E23" s="17"/>
      <c r="F23" s="48">
        <f>SUM(F4:F21)</f>
        <v>2700</v>
      </c>
      <c r="G23" s="5"/>
      <c r="H23" s="51"/>
      <c r="I23" s="1"/>
    </row>
  </sheetData>
  <pageMargins left="0.5" right="0.25" top="0.25" bottom="0.25" header="0.3" footer="0.3"/>
  <pageSetup paperSize="9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F1D2-94B7-4F71-BD65-790BE8ACD272}">
  <dimension ref="A1:K23"/>
  <sheetViews>
    <sheetView workbookViewId="0">
      <selection activeCell="H10" sqref="H10"/>
    </sheetView>
  </sheetViews>
  <sheetFormatPr defaultRowHeight="15" x14ac:dyDescent="0.25"/>
  <cols>
    <col min="1" max="1" width="4.7109375" customWidth="1"/>
    <col min="2" max="2" width="18" customWidth="1"/>
    <col min="3" max="3" width="19" customWidth="1"/>
    <col min="4" max="4" width="25.85546875" customWidth="1"/>
    <col min="5" max="5" width="13.28515625" style="3" customWidth="1"/>
    <col min="6" max="6" width="12.5703125" style="8" customWidth="1"/>
    <col min="7" max="7" width="7.42578125" style="8" customWidth="1"/>
    <col min="8" max="8" width="32.140625" customWidth="1"/>
    <col min="9" max="9" width="10.7109375" customWidth="1"/>
  </cols>
  <sheetData>
    <row r="1" spans="1:11" ht="24.75" customHeight="1" x14ac:dyDescent="0.6">
      <c r="A1" s="65"/>
      <c r="B1" s="65" t="s">
        <v>388</v>
      </c>
      <c r="C1" s="65"/>
      <c r="D1" s="65"/>
      <c r="E1" s="66"/>
      <c r="F1" s="79"/>
      <c r="G1" s="79"/>
      <c r="H1" s="66"/>
      <c r="I1" s="65"/>
      <c r="J1" s="65"/>
    </row>
    <row r="2" spans="1:11" ht="0.75" hidden="1" customHeight="1" x14ac:dyDescent="0.6">
      <c r="A2" s="65"/>
      <c r="B2" s="65"/>
      <c r="C2" s="65"/>
      <c r="D2" s="65"/>
      <c r="E2" s="66"/>
      <c r="F2" s="79"/>
      <c r="G2" s="79"/>
      <c r="H2" s="65"/>
      <c r="I2" s="65"/>
      <c r="J2" s="65"/>
    </row>
    <row r="3" spans="1:11" s="28" customFormat="1" ht="27.75" customHeight="1" x14ac:dyDescent="0.75">
      <c r="A3" s="67" t="s">
        <v>0</v>
      </c>
      <c r="B3" s="68" t="s">
        <v>48</v>
      </c>
      <c r="C3" s="68" t="s">
        <v>3</v>
      </c>
      <c r="D3" s="68" t="s">
        <v>5</v>
      </c>
      <c r="E3" s="68" t="s">
        <v>4</v>
      </c>
      <c r="F3" s="83" t="s">
        <v>593</v>
      </c>
      <c r="G3" s="67" t="s">
        <v>152</v>
      </c>
      <c r="H3" s="68" t="s">
        <v>1</v>
      </c>
      <c r="I3" s="68" t="s">
        <v>2</v>
      </c>
      <c r="J3" s="84"/>
      <c r="K3" s="27"/>
    </row>
    <row r="4" spans="1:11" ht="26.25" customHeight="1" x14ac:dyDescent="0.65">
      <c r="A4" s="4">
        <v>20</v>
      </c>
      <c r="B4" s="20"/>
      <c r="C4" s="26"/>
      <c r="D4" s="10"/>
      <c r="E4" s="10"/>
      <c r="F4" s="45"/>
      <c r="G4" s="4"/>
      <c r="H4" s="87"/>
      <c r="I4" s="1"/>
      <c r="J4" s="7"/>
    </row>
    <row r="5" spans="1:11" ht="26.25" customHeight="1" x14ac:dyDescent="0.65">
      <c r="A5" s="4">
        <v>21</v>
      </c>
      <c r="B5" s="20"/>
      <c r="C5" s="26"/>
      <c r="D5" s="10"/>
      <c r="E5" s="10"/>
      <c r="F5" s="45"/>
      <c r="G5" s="4"/>
      <c r="H5" s="87"/>
      <c r="I5" s="1"/>
      <c r="J5" s="7"/>
    </row>
    <row r="6" spans="1:11" ht="26.25" customHeight="1" x14ac:dyDescent="0.65">
      <c r="A6" s="4">
        <v>22</v>
      </c>
      <c r="B6" s="10"/>
      <c r="C6" s="26"/>
      <c r="D6" s="16"/>
      <c r="E6" s="10"/>
      <c r="F6" s="45"/>
      <c r="G6" s="12"/>
      <c r="H6" s="39"/>
      <c r="I6" s="1"/>
      <c r="J6" s="7"/>
    </row>
    <row r="7" spans="1:11" ht="26.25" customHeight="1" x14ac:dyDescent="0.65">
      <c r="A7" s="4">
        <v>23</v>
      </c>
      <c r="B7" s="20"/>
      <c r="C7" s="26"/>
      <c r="D7" s="16"/>
      <c r="E7" s="10"/>
      <c r="F7" s="45"/>
      <c r="G7" s="12"/>
      <c r="H7" s="39"/>
      <c r="I7" s="1"/>
      <c r="J7" s="7"/>
    </row>
    <row r="8" spans="1:11" ht="26.25" customHeight="1" x14ac:dyDescent="0.65">
      <c r="A8" s="4">
        <v>24</v>
      </c>
      <c r="B8" s="10"/>
      <c r="C8" s="26"/>
      <c r="D8" s="10"/>
      <c r="E8" s="10"/>
      <c r="F8" s="45"/>
      <c r="G8" s="12"/>
      <c r="H8" s="87"/>
      <c r="I8" s="1"/>
      <c r="J8" s="7"/>
    </row>
    <row r="9" spans="1:11" ht="26.25" customHeight="1" x14ac:dyDescent="0.65">
      <c r="A9" s="4">
        <v>25</v>
      </c>
      <c r="B9" s="20"/>
      <c r="C9" s="26"/>
      <c r="D9" s="10"/>
      <c r="E9" s="10"/>
      <c r="F9" s="45"/>
      <c r="G9" s="12"/>
      <c r="H9" s="87"/>
      <c r="I9" s="1"/>
      <c r="J9" s="7"/>
    </row>
    <row r="10" spans="1:11" ht="26.25" customHeight="1" x14ac:dyDescent="0.65">
      <c r="A10" s="4">
        <v>26</v>
      </c>
      <c r="B10" s="10"/>
      <c r="C10" s="26"/>
      <c r="D10" s="10"/>
      <c r="E10" s="10"/>
      <c r="F10" s="45"/>
      <c r="G10" s="4"/>
      <c r="H10" s="87"/>
      <c r="I10" s="1"/>
      <c r="J10" s="7"/>
    </row>
    <row r="11" spans="1:11" ht="26.25" customHeight="1" x14ac:dyDescent="0.65">
      <c r="A11" s="4">
        <v>27</v>
      </c>
      <c r="B11" s="10"/>
      <c r="C11" s="26"/>
      <c r="D11" s="10"/>
      <c r="E11" s="10"/>
      <c r="F11" s="45"/>
      <c r="G11" s="4"/>
      <c r="H11" s="87"/>
      <c r="I11" s="10"/>
      <c r="J11" s="7"/>
    </row>
    <row r="12" spans="1:11" ht="26.25" customHeight="1" x14ac:dyDescent="0.65">
      <c r="A12" s="4">
        <v>28</v>
      </c>
      <c r="B12" s="10"/>
      <c r="C12" s="26"/>
      <c r="D12" s="10"/>
      <c r="E12" s="10"/>
      <c r="F12" s="46"/>
      <c r="G12" s="4"/>
      <c r="H12" s="87"/>
      <c r="I12" s="1"/>
      <c r="J12" s="7"/>
    </row>
    <row r="13" spans="1:11" ht="26.25" customHeight="1" x14ac:dyDescent="0.65">
      <c r="A13" s="4">
        <v>29</v>
      </c>
      <c r="B13" s="10"/>
      <c r="C13" s="26"/>
      <c r="D13" s="10"/>
      <c r="E13" s="10"/>
      <c r="F13" s="46"/>
      <c r="G13" s="4"/>
      <c r="H13" s="87"/>
      <c r="I13" s="1"/>
      <c r="J13" s="7"/>
    </row>
    <row r="14" spans="1:11" ht="26.25" customHeight="1" x14ac:dyDescent="0.6">
      <c r="A14" s="4">
        <v>30</v>
      </c>
      <c r="B14" s="10"/>
      <c r="C14" s="87"/>
      <c r="D14" s="10"/>
      <c r="E14" s="10"/>
      <c r="F14" s="46"/>
      <c r="G14" s="4"/>
      <c r="H14" s="87"/>
      <c r="I14" s="1"/>
      <c r="J14" s="7"/>
    </row>
    <row r="15" spans="1:11" ht="26.25" customHeight="1" x14ac:dyDescent="0.65">
      <c r="A15" s="4">
        <v>31</v>
      </c>
      <c r="B15" s="10"/>
      <c r="C15" s="26"/>
      <c r="D15" s="10"/>
      <c r="E15" s="10"/>
      <c r="F15" s="46"/>
      <c r="G15" s="4"/>
      <c r="H15" s="87"/>
      <c r="I15" s="1"/>
      <c r="J15" s="7"/>
    </row>
    <row r="16" spans="1:11" ht="26.25" customHeight="1" x14ac:dyDescent="0.65">
      <c r="A16" s="4">
        <v>32</v>
      </c>
      <c r="B16" s="10"/>
      <c r="C16" s="26"/>
      <c r="D16" s="10"/>
      <c r="E16" s="10"/>
      <c r="F16" s="46"/>
      <c r="G16" s="4"/>
      <c r="H16" s="39"/>
      <c r="I16" s="1"/>
      <c r="J16" s="7"/>
    </row>
    <row r="17" spans="1:10" ht="26.25" customHeight="1" x14ac:dyDescent="0.65">
      <c r="A17" s="4">
        <v>33</v>
      </c>
      <c r="B17" s="10"/>
      <c r="C17" s="26"/>
      <c r="D17" s="10"/>
      <c r="E17" s="10"/>
      <c r="F17" s="46"/>
      <c r="G17" s="4"/>
      <c r="H17" s="39"/>
      <c r="I17" s="1"/>
      <c r="J17" s="7"/>
    </row>
    <row r="18" spans="1:10" ht="26.25" customHeight="1" x14ac:dyDescent="0.6">
      <c r="A18" s="4">
        <v>34</v>
      </c>
      <c r="B18" s="10"/>
      <c r="C18" s="87"/>
      <c r="D18" s="10"/>
      <c r="E18" s="10"/>
      <c r="F18" s="46"/>
      <c r="G18" s="4"/>
      <c r="H18" s="39"/>
      <c r="I18" s="1"/>
      <c r="J18" s="7"/>
    </row>
    <row r="19" spans="1:10" ht="26.25" customHeight="1" x14ac:dyDescent="0.65">
      <c r="A19" s="4">
        <v>35</v>
      </c>
      <c r="B19" s="10"/>
      <c r="C19" s="26"/>
      <c r="D19" s="10"/>
      <c r="E19" s="17"/>
      <c r="F19" s="46"/>
      <c r="G19" s="4"/>
      <c r="H19" s="39"/>
      <c r="I19" s="1"/>
      <c r="J19" s="7"/>
    </row>
    <row r="20" spans="1:10" ht="26.25" customHeight="1" x14ac:dyDescent="0.65">
      <c r="A20" s="4">
        <v>36</v>
      </c>
      <c r="B20" s="10"/>
      <c r="C20" s="26"/>
      <c r="D20" s="10"/>
      <c r="E20" s="17"/>
      <c r="F20" s="46"/>
      <c r="G20" s="4"/>
      <c r="H20" s="39"/>
      <c r="I20" s="1"/>
      <c r="J20" s="7"/>
    </row>
    <row r="21" spans="1:10" ht="26.25" customHeight="1" x14ac:dyDescent="0.65">
      <c r="A21" s="4">
        <v>37</v>
      </c>
      <c r="B21" s="10"/>
      <c r="C21" s="11"/>
      <c r="D21" s="10"/>
      <c r="E21" s="17"/>
      <c r="F21" s="46"/>
      <c r="G21" s="4"/>
      <c r="H21" s="51"/>
      <c r="I21" s="1"/>
      <c r="J21" s="7"/>
    </row>
    <row r="22" spans="1:10" ht="26.25" customHeight="1" x14ac:dyDescent="0.65">
      <c r="A22" s="4">
        <v>38</v>
      </c>
      <c r="B22" s="10"/>
      <c r="C22" s="11"/>
      <c r="D22" s="10"/>
      <c r="E22" s="17"/>
      <c r="F22" s="46"/>
      <c r="G22" s="4"/>
      <c r="H22" s="51"/>
      <c r="I22" s="1"/>
      <c r="J22" s="7"/>
    </row>
    <row r="23" spans="1:10" ht="26.25" customHeight="1" x14ac:dyDescent="0.6">
      <c r="A23" s="6"/>
      <c r="B23" s="9"/>
      <c r="C23" s="9"/>
      <c r="D23" s="18"/>
      <c r="E23" s="17"/>
      <c r="F23" s="48">
        <f>SUM(F4:F20)</f>
        <v>0</v>
      </c>
      <c r="G23" s="5"/>
      <c r="H23" s="51"/>
      <c r="I23" s="1"/>
    </row>
  </sheetData>
  <pageMargins left="0.25" right="0.25" top="0.25" bottom="0.2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Theary</vt:lpstr>
      <vt:lpstr>OF</vt:lpstr>
      <vt:lpstr>Sros</vt:lpstr>
      <vt:lpstr>Sros (2)</vt:lpstr>
      <vt:lpstr>Sros (3)</vt:lpstr>
      <vt:lpstr>Sros (4)</vt:lpstr>
      <vt:lpstr>Bery</vt:lpstr>
      <vt:lpstr>Bery (2)</vt:lpstr>
      <vt:lpstr>Bery (3)</vt:lpstr>
      <vt:lpstr>Bery (4)</vt:lpstr>
      <vt:lpstr>Seyi</vt:lpstr>
      <vt:lpstr>Seyi (2)</vt:lpstr>
      <vt:lpstr>JR</vt:lpstr>
      <vt:lpstr>San+YaYa</vt:lpstr>
      <vt:lpstr>Pheaktra</vt:lpstr>
      <vt:lpstr>Pheaktra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USER</cp:lastModifiedBy>
  <cp:lastPrinted>2025-12-01T06:51:40Z</cp:lastPrinted>
  <dcterms:created xsi:type="dcterms:W3CDTF">2023-04-29T07:55:49Z</dcterms:created>
  <dcterms:modified xsi:type="dcterms:W3CDTF">2025-12-05T09:43:04Z</dcterms:modified>
</cp:coreProperties>
</file>